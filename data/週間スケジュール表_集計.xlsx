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drawings/drawing17.xml" ContentType="application/vnd.openxmlformats-officedocument.drawing+xml"/>
  <Override PartName="/xl/comments18.xml" ContentType="application/vnd.openxmlformats-officedocument.spreadsheetml.comments+xml"/>
  <Override PartName="/xl/drawings/drawing18.xml" ContentType="application/vnd.openxmlformats-officedocument.drawing+xml"/>
  <Override PartName="/xl/comments19.xml" ContentType="application/vnd.openxmlformats-officedocument.spreadsheetml.comments+xml"/>
  <Override PartName="/xl/drawings/drawing19.xml" ContentType="application/vnd.openxmlformats-officedocument.drawing+xml"/>
  <Override PartName="/xl/comments20.xml" ContentType="application/vnd.openxmlformats-officedocument.spreadsheetml.comments+xml"/>
  <Override PartName="/xl/drawings/drawing20.xml" ContentType="application/vnd.openxmlformats-officedocument.drawing+xml"/>
  <Override PartName="/xl/comments21.xml" ContentType="application/vnd.openxmlformats-officedocument.spreadsheetml.comments+xml"/>
  <Override PartName="/xl/drawings/drawing21.xml" ContentType="application/vnd.openxmlformats-officedocument.drawing+xml"/>
  <Override PartName="/xl/comments22.xml" ContentType="application/vnd.openxmlformats-officedocument.spreadsheetml.comments+xml"/>
  <Override PartName="/xl/drawings/drawing22.xml" ContentType="application/vnd.openxmlformats-officedocument.drawing+xml"/>
  <Override PartName="/xl/comments23.xml" ContentType="application/vnd.openxmlformats-officedocument.spreadsheetml.comments+xml"/>
  <Override PartName="/xl/drawings/drawing23.xml" ContentType="application/vnd.openxmlformats-officedocument.drawing+xml"/>
  <Override PartName="/xl/comments24.xml" ContentType="application/vnd.openxmlformats-officedocument.spreadsheetml.comments+xml"/>
  <Override PartName="/xl/drawings/drawing24.xml" ContentType="application/vnd.openxmlformats-officedocument.drawing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DEV(ClaudCode)\ScheduleManagement\data\"/>
    </mc:Choice>
  </mc:AlternateContent>
  <xr:revisionPtr revIDLastSave="0" documentId="13_ncr:1_{A9B6EA5F-681F-4880-8F29-26AEEF6FBE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0323" sheetId="92" r:id="rId1"/>
    <sheet name="0316" sheetId="91" r:id="rId2"/>
    <sheet name="0309" sheetId="90" r:id="rId3"/>
    <sheet name="0302" sheetId="89" r:id="rId4"/>
    <sheet name="0512" sheetId="46" state="hidden" r:id="rId5"/>
    <sheet name="0505" sheetId="45" state="hidden" r:id="rId6"/>
    <sheet name="0428" sheetId="44" state="hidden" r:id="rId7"/>
    <sheet name="0421" sheetId="43" state="hidden" r:id="rId8"/>
    <sheet name="0414" sheetId="42" state="hidden" r:id="rId9"/>
    <sheet name="0407" sheetId="41" state="hidden" r:id="rId10"/>
    <sheet name="0331" sheetId="40" state="hidden" r:id="rId11"/>
    <sheet name="0324" sheetId="39" state="hidden" r:id="rId12"/>
    <sheet name="0317" sheetId="38" state="hidden" r:id="rId13"/>
    <sheet name="0310" sheetId="37" state="hidden" r:id="rId14"/>
    <sheet name="0303" sheetId="36" state="hidden" r:id="rId15"/>
    <sheet name="0224" sheetId="34" state="hidden" r:id="rId16"/>
    <sheet name="0217" sheetId="33" state="hidden" r:id="rId17"/>
    <sheet name="0210" sheetId="32" state="hidden" r:id="rId18"/>
    <sheet name="0203" sheetId="31" state="hidden" r:id="rId19"/>
    <sheet name="0127" sheetId="30" state="hidden" r:id="rId20"/>
    <sheet name="0120" sheetId="29" state="hidden" r:id="rId21"/>
    <sheet name="0113" sheetId="28" state="hidden" r:id="rId22"/>
    <sheet name="0106" sheetId="27" state="hidden" r:id="rId23"/>
    <sheet name="0930" sheetId="14" state="hidden" r:id="rId24"/>
    <sheet name="0923" sheetId="13" state="hidden" r:id="rId25"/>
    <sheet name="0916" sheetId="12" state="hidden" r:id="rId26"/>
    <sheet name="0909" sheetId="11" state="hidden" r:id="rId27"/>
    <sheet name="0902" sheetId="10" state="hidden" r:id="rId28"/>
    <sheet name="0826" sheetId="9" state="hidden" r:id="rId29"/>
    <sheet name="0819" sheetId="8" state="hidden" r:id="rId30"/>
    <sheet name="0812" sheetId="7" state="hidden" r:id="rId31"/>
    <sheet name="0805" sheetId="6" state="hidden" r:id="rId32"/>
    <sheet name="0729" sheetId="5" state="hidden" r:id="rId33"/>
    <sheet name="0722" sheetId="4" state="hidden" r:id="rId34"/>
    <sheet name="0715" sheetId="2" state="hidden" r:id="rId35"/>
    <sheet name="0708" sheetId="1" state="hidden" r:id="rId36"/>
  </sheets>
  <definedNames>
    <definedName name="_xlnm.Print_Area" localSheetId="22">'0106'!$A$1:$R$36</definedName>
    <definedName name="_xlnm.Print_Area" localSheetId="21">'0113'!$A$1:$R$36</definedName>
    <definedName name="_xlnm.Print_Area" localSheetId="20">'0120'!$A$1:$R$36</definedName>
    <definedName name="_xlnm.Print_Area" localSheetId="19">'0127'!$A$1:$R$36</definedName>
    <definedName name="_xlnm.Print_Area" localSheetId="18">'0203'!$A$1:$R$36</definedName>
    <definedName name="_xlnm.Print_Area" localSheetId="17">'0210'!$A$1:$R$36</definedName>
    <definedName name="_xlnm.Print_Area" localSheetId="16">'0217'!$A$1:$R$36</definedName>
    <definedName name="_xlnm.Print_Area" localSheetId="15">'0224'!$A$1:$R$25</definedName>
    <definedName name="_xlnm.Print_Area" localSheetId="3">'0302'!$A$1:$S$47</definedName>
    <definedName name="_xlnm.Print_Area" localSheetId="14">'0303'!$A$1:$R$28</definedName>
    <definedName name="_xlnm.Print_Area" localSheetId="2">'0309'!$A$1:$S$47</definedName>
    <definedName name="_xlnm.Print_Area" localSheetId="13">'0310'!$A$1:$R$28</definedName>
    <definedName name="_xlnm.Print_Area" localSheetId="1">'0316'!$A$1:$S$69</definedName>
    <definedName name="_xlnm.Print_Area" localSheetId="12">'0317'!$A$1:$R$28</definedName>
    <definedName name="_xlnm.Print_Area" localSheetId="0">'0323'!$A$1:$S$69</definedName>
    <definedName name="_xlnm.Print_Area" localSheetId="11">'0324'!$A$1:$R$28</definedName>
    <definedName name="_xlnm.Print_Area" localSheetId="10">'0331'!$A$1:$R$28</definedName>
    <definedName name="_xlnm.Print_Area" localSheetId="9">'0407'!$A$1:$R$28</definedName>
    <definedName name="_xlnm.Print_Area" localSheetId="8">'0414'!$A$1:$R$27</definedName>
    <definedName name="_xlnm.Print_Area" localSheetId="7">'0421'!$A$1:$R$28</definedName>
    <definedName name="_xlnm.Print_Area" localSheetId="6">'0428'!$A$1:$R$28</definedName>
    <definedName name="_xlnm.Print_Area" localSheetId="5">'0505'!$A$1:$R$28</definedName>
    <definedName name="_xlnm.Print_Area" localSheetId="4">'0512'!$A$1:$R$28</definedName>
    <definedName name="_xlnm.Print_Area" localSheetId="33">'0722'!$A$1:$R$36</definedName>
    <definedName name="_xlnm.Print_Area" localSheetId="32">'0729'!$A$1:$R$47</definedName>
    <definedName name="_xlnm.Print_Area" localSheetId="31">'0805'!$A$1:$R$47</definedName>
    <definedName name="_xlnm.Print_Area" localSheetId="30">'0812'!$A$1:$R$47</definedName>
    <definedName name="_xlnm.Print_Area" localSheetId="29">'0819'!$A$1:$R$47</definedName>
    <definedName name="_xlnm.Print_Area" localSheetId="28">'0826'!$A$1:$R$47</definedName>
    <definedName name="_xlnm.Print_Area" localSheetId="27">'0902'!$A$1:$R$47</definedName>
    <definedName name="_xlnm.Print_Area" localSheetId="26">'0909'!$A$1:$R$47</definedName>
    <definedName name="_xlnm.Print_Area" localSheetId="25">'0916'!$A$1:$R$47</definedName>
    <definedName name="_xlnm.Print_Area" localSheetId="24">'0923'!$A$1:$R$47</definedName>
    <definedName name="_xlnm.Print_Area" localSheetId="23">'0930'!$A$1:$R$47</definedName>
    <definedName name="_xlnm.Print_Titles" localSheetId="1">'0316'!$1:$3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8" i="92" l="1"/>
  <c r="L58" i="92"/>
  <c r="I58" i="92"/>
  <c r="R69" i="92"/>
  <c r="O69" i="92"/>
  <c r="L69" i="92"/>
  <c r="I69" i="92"/>
  <c r="F69" i="92"/>
  <c r="R58" i="92"/>
  <c r="F58" i="92"/>
  <c r="R47" i="92"/>
  <c r="O47" i="92"/>
  <c r="L47" i="92"/>
  <c r="I47" i="92"/>
  <c r="F47" i="92"/>
  <c r="R36" i="92"/>
  <c r="O36" i="92"/>
  <c r="L36" i="92"/>
  <c r="I36" i="92"/>
  <c r="F36" i="92"/>
  <c r="R25" i="92"/>
  <c r="O25" i="92"/>
  <c r="L25" i="92"/>
  <c r="I25" i="92"/>
  <c r="F25" i="92"/>
  <c r="R14" i="92"/>
  <c r="O14" i="92"/>
  <c r="L14" i="92"/>
  <c r="I14" i="92"/>
  <c r="F14" i="92"/>
  <c r="D2" i="92"/>
  <c r="G2" i="92" s="1"/>
  <c r="J2" i="92" s="1"/>
  <c r="M2" i="92" s="1"/>
  <c r="P2" i="92" s="1"/>
  <c r="R69" i="91"/>
  <c r="O69" i="91"/>
  <c r="L69" i="91"/>
  <c r="I69" i="91"/>
  <c r="F69" i="91"/>
  <c r="R58" i="91"/>
  <c r="O58" i="91"/>
  <c r="L58" i="91"/>
  <c r="I58" i="91"/>
  <c r="F58" i="91"/>
  <c r="R47" i="91"/>
  <c r="O47" i="91"/>
  <c r="L47" i="91"/>
  <c r="I47" i="91"/>
  <c r="F47" i="91"/>
  <c r="R36" i="91"/>
  <c r="O36" i="91"/>
  <c r="L36" i="91"/>
  <c r="I36" i="91"/>
  <c r="F36" i="91"/>
  <c r="R25" i="91"/>
  <c r="O25" i="91"/>
  <c r="L25" i="91"/>
  <c r="I25" i="91"/>
  <c r="F25" i="91"/>
  <c r="R14" i="91"/>
  <c r="O14" i="91"/>
  <c r="L14" i="91"/>
  <c r="I14" i="91"/>
  <c r="F14" i="91"/>
  <c r="D2" i="91"/>
  <c r="G2" i="91" s="1"/>
  <c r="J2" i="91" s="1"/>
  <c r="M2" i="91" s="1"/>
  <c r="P2" i="91" s="1"/>
  <c r="R47" i="90"/>
  <c r="O47" i="90"/>
  <c r="L47" i="90"/>
  <c r="I47" i="90"/>
  <c r="F47" i="90"/>
  <c r="R36" i="90"/>
  <c r="O36" i="90"/>
  <c r="L36" i="90"/>
  <c r="I36" i="90"/>
  <c r="F36" i="90"/>
  <c r="R25" i="90"/>
  <c r="O25" i="90"/>
  <c r="L25" i="90"/>
  <c r="I25" i="90"/>
  <c r="F25" i="90"/>
  <c r="R14" i="90"/>
  <c r="O14" i="90"/>
  <c r="L14" i="90"/>
  <c r="I14" i="90"/>
  <c r="F14" i="90"/>
  <c r="D2" i="90"/>
  <c r="G2" i="90" s="1"/>
  <c r="J2" i="90" s="1"/>
  <c r="M2" i="90" s="1"/>
  <c r="P2" i="90" s="1"/>
  <c r="R47" i="89"/>
  <c r="O47" i="89"/>
  <c r="L47" i="89"/>
  <c r="I47" i="89"/>
  <c r="F47" i="89"/>
  <c r="R36" i="89"/>
  <c r="O36" i="89"/>
  <c r="L36" i="89"/>
  <c r="I36" i="89"/>
  <c r="F36" i="89"/>
  <c r="R25" i="89"/>
  <c r="O25" i="89"/>
  <c r="L25" i="89"/>
  <c r="I25" i="89"/>
  <c r="F25" i="89"/>
  <c r="R14" i="89"/>
  <c r="O14" i="89"/>
  <c r="L14" i="89"/>
  <c r="I14" i="89"/>
  <c r="F14" i="89"/>
  <c r="D2" i="89"/>
  <c r="G2" i="89" s="1"/>
  <c r="J2" i="89" s="1"/>
  <c r="M2" i="89" s="1"/>
  <c r="P2" i="89" s="1"/>
  <c r="D2" i="46"/>
  <c r="R25" i="46"/>
  <c r="O25" i="46"/>
  <c r="L25" i="46"/>
  <c r="I25" i="46"/>
  <c r="F25" i="46"/>
  <c r="R14" i="46"/>
  <c r="O14" i="46"/>
  <c r="L14" i="46"/>
  <c r="I14" i="46"/>
  <c r="F14" i="46"/>
  <c r="G2" i="46"/>
  <c r="J2" i="46" s="1"/>
  <c r="M2" i="46" s="1"/>
  <c r="P2" i="46" s="1"/>
  <c r="R25" i="45"/>
  <c r="O25" i="45"/>
  <c r="L25" i="45"/>
  <c r="I25" i="45"/>
  <c r="F25" i="45"/>
  <c r="R14" i="45"/>
  <c r="O14" i="45"/>
  <c r="L14" i="45"/>
  <c r="I14" i="45"/>
  <c r="F14" i="45"/>
  <c r="D2" i="45"/>
  <c r="G2" i="45" s="1"/>
  <c r="J2" i="45" s="1"/>
  <c r="M2" i="45" s="1"/>
  <c r="P2" i="45" s="1"/>
  <c r="R25" i="44"/>
  <c r="O25" i="44"/>
  <c r="L25" i="44"/>
  <c r="I25" i="44"/>
  <c r="F25" i="44"/>
  <c r="R14" i="44"/>
  <c r="O14" i="44"/>
  <c r="L14" i="44"/>
  <c r="I14" i="44"/>
  <c r="F14" i="44"/>
  <c r="D2" i="44"/>
  <c r="G2" i="44" s="1"/>
  <c r="J2" i="44" s="1"/>
  <c r="M2" i="44" s="1"/>
  <c r="P2" i="44" s="1"/>
  <c r="R25" i="43"/>
  <c r="O25" i="43"/>
  <c r="L25" i="43"/>
  <c r="I25" i="43"/>
  <c r="F25" i="43"/>
  <c r="R14" i="43"/>
  <c r="O14" i="43"/>
  <c r="L14" i="43"/>
  <c r="I14" i="43"/>
  <c r="F14" i="43"/>
  <c r="D2" i="43"/>
  <c r="G2" i="43" s="1"/>
  <c r="J2" i="43" s="1"/>
  <c r="M2" i="43" s="1"/>
  <c r="P2" i="43" s="1"/>
  <c r="R25" i="42"/>
  <c r="O25" i="42"/>
  <c r="L25" i="42"/>
  <c r="I25" i="42"/>
  <c r="F25" i="42"/>
  <c r="R14" i="42"/>
  <c r="O14" i="42"/>
  <c r="L14" i="42"/>
  <c r="I14" i="42"/>
  <c r="F14" i="42"/>
  <c r="D2" i="42"/>
  <c r="G2" i="42" s="1"/>
  <c r="J2" i="42" s="1"/>
  <c r="M2" i="42" s="1"/>
  <c r="P2" i="42" s="1"/>
  <c r="R25" i="41"/>
  <c r="O25" i="41"/>
  <c r="L25" i="41"/>
  <c r="I25" i="41"/>
  <c r="F25" i="41"/>
  <c r="R14" i="41"/>
  <c r="O14" i="41"/>
  <c r="L14" i="41"/>
  <c r="I14" i="41"/>
  <c r="F14" i="41"/>
  <c r="D2" i="41"/>
  <c r="G2" i="41" s="1"/>
  <c r="J2" i="41" s="1"/>
  <c r="M2" i="41" s="1"/>
  <c r="P2" i="41" s="1"/>
  <c r="R25" i="40"/>
  <c r="O25" i="40"/>
  <c r="L25" i="40"/>
  <c r="I25" i="40"/>
  <c r="F25" i="40"/>
  <c r="R14" i="40"/>
  <c r="O14" i="40"/>
  <c r="L14" i="40"/>
  <c r="I14" i="40"/>
  <c r="F14" i="40"/>
  <c r="D2" i="40"/>
  <c r="G2" i="40" s="1"/>
  <c r="J2" i="40" s="1"/>
  <c r="M2" i="40" s="1"/>
  <c r="P2" i="40" s="1"/>
  <c r="R25" i="39"/>
  <c r="O25" i="39"/>
  <c r="L25" i="39"/>
  <c r="I25" i="39"/>
  <c r="F25" i="39"/>
  <c r="R14" i="39"/>
  <c r="O14" i="39"/>
  <c r="L14" i="39"/>
  <c r="I14" i="39"/>
  <c r="F14" i="39"/>
  <c r="D2" i="39"/>
  <c r="G2" i="39" s="1"/>
  <c r="J2" i="39" s="1"/>
  <c r="M2" i="39" s="1"/>
  <c r="P2" i="39" s="1"/>
  <c r="R25" i="38"/>
  <c r="O25" i="38"/>
  <c r="L25" i="38"/>
  <c r="I25" i="38"/>
  <c r="F25" i="38"/>
  <c r="R14" i="38"/>
  <c r="O14" i="38"/>
  <c r="L14" i="38"/>
  <c r="I14" i="38"/>
  <c r="F14" i="38"/>
  <c r="D2" i="38"/>
  <c r="G2" i="38" s="1"/>
  <c r="J2" i="38" s="1"/>
  <c r="M2" i="38" s="1"/>
  <c r="P2" i="38" s="1"/>
  <c r="R25" i="37"/>
  <c r="O25" i="37"/>
  <c r="L25" i="37"/>
  <c r="I25" i="37"/>
  <c r="F25" i="37"/>
  <c r="R14" i="37"/>
  <c r="O14" i="37"/>
  <c r="L14" i="37"/>
  <c r="I14" i="37"/>
  <c r="F14" i="37"/>
  <c r="D2" i="37"/>
  <c r="G2" i="37" s="1"/>
  <c r="J2" i="37" s="1"/>
  <c r="M2" i="37" s="1"/>
  <c r="P2" i="37" s="1"/>
  <c r="R25" i="36"/>
  <c r="O25" i="36"/>
  <c r="L25" i="36"/>
  <c r="I25" i="36"/>
  <c r="F25" i="36"/>
  <c r="R14" i="36"/>
  <c r="O14" i="36"/>
  <c r="L14" i="36"/>
  <c r="I14" i="36"/>
  <c r="F14" i="36"/>
  <c r="D2" i="36"/>
  <c r="G2" i="36" s="1"/>
  <c r="J2" i="36" s="1"/>
  <c r="M2" i="36" s="1"/>
  <c r="P2" i="36" s="1"/>
  <c r="R25" i="34"/>
  <c r="O25" i="34"/>
  <c r="L25" i="34"/>
  <c r="I25" i="34"/>
  <c r="F25" i="34"/>
  <c r="R14" i="34"/>
  <c r="O14" i="34"/>
  <c r="L14" i="34"/>
  <c r="I14" i="34"/>
  <c r="F14" i="34"/>
  <c r="D2" i="34"/>
  <c r="G2" i="34" s="1"/>
  <c r="J2" i="34" s="1"/>
  <c r="M2" i="34" s="1"/>
  <c r="P2" i="34" s="1"/>
  <c r="R36" i="33"/>
  <c r="O36" i="33"/>
  <c r="L36" i="33"/>
  <c r="I36" i="33"/>
  <c r="F36" i="33"/>
  <c r="R25" i="33"/>
  <c r="O25" i="33"/>
  <c r="L25" i="33"/>
  <c r="I25" i="33"/>
  <c r="F25" i="33"/>
  <c r="R14" i="33"/>
  <c r="O14" i="33"/>
  <c r="L14" i="33"/>
  <c r="I14" i="33"/>
  <c r="F14" i="33"/>
  <c r="D2" i="33"/>
  <c r="G2" i="33" s="1"/>
  <c r="J2" i="33" s="1"/>
  <c r="M2" i="33" s="1"/>
  <c r="P2" i="33" s="1"/>
  <c r="F25" i="32"/>
  <c r="R36" i="32"/>
  <c r="O36" i="32"/>
  <c r="L36" i="32"/>
  <c r="I36" i="32"/>
  <c r="F36" i="32"/>
  <c r="R25" i="32"/>
  <c r="O25" i="32"/>
  <c r="L25" i="32"/>
  <c r="I25" i="32"/>
  <c r="R14" i="32"/>
  <c r="O14" i="32"/>
  <c r="L14" i="32"/>
  <c r="I14" i="32"/>
  <c r="F14" i="32"/>
  <c r="D2" i="32"/>
  <c r="G2" i="32" s="1"/>
  <c r="J2" i="32" s="1"/>
  <c r="M2" i="32" s="1"/>
  <c r="P2" i="32" s="1"/>
  <c r="R36" i="31"/>
  <c r="O36" i="31"/>
  <c r="L36" i="31"/>
  <c r="I36" i="31"/>
  <c r="F36" i="31"/>
  <c r="R25" i="31"/>
  <c r="O25" i="31"/>
  <c r="L25" i="31"/>
  <c r="I25" i="31"/>
  <c r="F25" i="31"/>
  <c r="R14" i="31"/>
  <c r="O14" i="31"/>
  <c r="L14" i="31"/>
  <c r="I14" i="31"/>
  <c r="F14" i="31"/>
  <c r="D2" i="31"/>
  <c r="G2" i="31" s="1"/>
  <c r="J2" i="31" s="1"/>
  <c r="M2" i="31" s="1"/>
  <c r="P2" i="31" s="1"/>
  <c r="R36" i="30"/>
  <c r="O36" i="30"/>
  <c r="L36" i="30"/>
  <c r="I36" i="30"/>
  <c r="F36" i="30"/>
  <c r="R25" i="30"/>
  <c r="O25" i="30"/>
  <c r="L25" i="30"/>
  <c r="I25" i="30"/>
  <c r="F25" i="30"/>
  <c r="R14" i="30"/>
  <c r="O14" i="30"/>
  <c r="L14" i="30"/>
  <c r="I14" i="30"/>
  <c r="F14" i="30"/>
  <c r="D2" i="30"/>
  <c r="G2" i="30" s="1"/>
  <c r="J2" i="30" s="1"/>
  <c r="M2" i="30" s="1"/>
  <c r="P2" i="30" s="1"/>
  <c r="F36" i="29" l="1"/>
  <c r="F14" i="29"/>
  <c r="F25" i="29"/>
  <c r="R36" i="29"/>
  <c r="O36" i="29"/>
  <c r="L36" i="29"/>
  <c r="I36" i="29"/>
  <c r="R25" i="29"/>
  <c r="O25" i="29"/>
  <c r="L25" i="29"/>
  <c r="I25" i="29"/>
  <c r="R14" i="29"/>
  <c r="O14" i="29"/>
  <c r="L14" i="29"/>
  <c r="I14" i="29"/>
  <c r="D2" i="29"/>
  <c r="G2" i="29" s="1"/>
  <c r="J2" i="29" s="1"/>
  <c r="M2" i="29" s="1"/>
  <c r="P2" i="29" s="1"/>
  <c r="L14" i="28"/>
  <c r="I25" i="28"/>
  <c r="L25" i="28"/>
  <c r="O25" i="28"/>
  <c r="R25" i="28"/>
  <c r="R36" i="28"/>
  <c r="O36" i="28"/>
  <c r="L36" i="28"/>
  <c r="I36" i="28"/>
  <c r="R14" i="28"/>
  <c r="O14" i="28"/>
  <c r="I14" i="28"/>
  <c r="D2" i="28"/>
  <c r="G2" i="28" s="1"/>
  <c r="J2" i="28" s="1"/>
  <c r="M2" i="28" s="1"/>
  <c r="P2" i="28" s="1"/>
  <c r="R36" i="27"/>
  <c r="O36" i="27"/>
  <c r="L36" i="27"/>
  <c r="I36" i="27"/>
  <c r="F36" i="27"/>
  <c r="R25" i="27"/>
  <c r="O25" i="27"/>
  <c r="L25" i="27"/>
  <c r="I25" i="27"/>
  <c r="F25" i="27"/>
  <c r="R14" i="27"/>
  <c r="O14" i="27"/>
  <c r="L14" i="27"/>
  <c r="I14" i="27"/>
  <c r="F14" i="27"/>
  <c r="D2" i="27"/>
  <c r="G2" i="27" s="1"/>
  <c r="J2" i="27" s="1"/>
  <c r="M2" i="27" s="1"/>
  <c r="P2" i="27" s="1"/>
  <c r="R47" i="14" l="1"/>
  <c r="O47" i="14"/>
  <c r="L47" i="14"/>
  <c r="I47" i="14"/>
  <c r="F47" i="14"/>
  <c r="R36" i="14"/>
  <c r="O36" i="14"/>
  <c r="L36" i="14"/>
  <c r="I36" i="14"/>
  <c r="F36" i="14"/>
  <c r="R25" i="14"/>
  <c r="O25" i="14"/>
  <c r="L25" i="14"/>
  <c r="I25" i="14"/>
  <c r="F25" i="14"/>
  <c r="R14" i="14"/>
  <c r="O14" i="14"/>
  <c r="L14" i="14"/>
  <c r="I14" i="14"/>
  <c r="F14" i="14"/>
  <c r="D2" i="14"/>
  <c r="G2" i="14" s="1"/>
  <c r="J2" i="14" s="1"/>
  <c r="M2" i="14" s="1"/>
  <c r="P2" i="14" s="1"/>
  <c r="R47" i="13"/>
  <c r="O47" i="13"/>
  <c r="L47" i="13"/>
  <c r="I47" i="13"/>
  <c r="F47" i="13"/>
  <c r="R36" i="13"/>
  <c r="O36" i="13"/>
  <c r="L36" i="13"/>
  <c r="I36" i="13"/>
  <c r="F36" i="13"/>
  <c r="R25" i="13"/>
  <c r="O25" i="13"/>
  <c r="L25" i="13"/>
  <c r="I25" i="13"/>
  <c r="F25" i="13"/>
  <c r="R14" i="13"/>
  <c r="O14" i="13"/>
  <c r="L14" i="13"/>
  <c r="I14" i="13"/>
  <c r="F14" i="13"/>
  <c r="D2" i="13"/>
  <c r="G2" i="13" s="1"/>
  <c r="J2" i="13" s="1"/>
  <c r="M2" i="13" s="1"/>
  <c r="P2" i="13" s="1"/>
  <c r="R47" i="12"/>
  <c r="O47" i="12"/>
  <c r="L47" i="12"/>
  <c r="I47" i="12"/>
  <c r="F47" i="12"/>
  <c r="R36" i="12"/>
  <c r="O36" i="12"/>
  <c r="L36" i="12"/>
  <c r="I36" i="12"/>
  <c r="F36" i="12"/>
  <c r="R25" i="12"/>
  <c r="O25" i="12"/>
  <c r="L25" i="12"/>
  <c r="I25" i="12"/>
  <c r="F25" i="12"/>
  <c r="R14" i="12"/>
  <c r="O14" i="12"/>
  <c r="L14" i="12"/>
  <c r="I14" i="12"/>
  <c r="F14" i="12"/>
  <c r="D2" i="12"/>
  <c r="G2" i="12" s="1"/>
  <c r="J2" i="12" s="1"/>
  <c r="M2" i="12" s="1"/>
  <c r="P2" i="12" s="1"/>
  <c r="R47" i="11"/>
  <c r="O47" i="11"/>
  <c r="L47" i="11"/>
  <c r="I47" i="11"/>
  <c r="F47" i="11"/>
  <c r="R36" i="11"/>
  <c r="O36" i="11"/>
  <c r="L36" i="11"/>
  <c r="I36" i="11"/>
  <c r="F36" i="11"/>
  <c r="R25" i="11"/>
  <c r="O25" i="11"/>
  <c r="L25" i="11"/>
  <c r="I25" i="11"/>
  <c r="F25" i="11"/>
  <c r="R14" i="11"/>
  <c r="O14" i="11"/>
  <c r="L14" i="11"/>
  <c r="I14" i="11"/>
  <c r="F14" i="11"/>
  <c r="D2" i="11"/>
  <c r="G2" i="11" s="1"/>
  <c r="J2" i="11" s="1"/>
  <c r="M2" i="11" s="1"/>
  <c r="P2" i="11" s="1"/>
  <c r="F36" i="10"/>
  <c r="I36" i="10"/>
  <c r="L36" i="10"/>
  <c r="O36" i="10"/>
  <c r="R36" i="10"/>
  <c r="R47" i="10" l="1"/>
  <c r="O47" i="10"/>
  <c r="L47" i="10"/>
  <c r="I47" i="10"/>
  <c r="F47" i="10"/>
  <c r="R25" i="10"/>
  <c r="O25" i="10"/>
  <c r="L25" i="10"/>
  <c r="I25" i="10"/>
  <c r="F25" i="10"/>
  <c r="R14" i="10"/>
  <c r="O14" i="10"/>
  <c r="L14" i="10"/>
  <c r="I14" i="10"/>
  <c r="F14" i="10"/>
  <c r="D2" i="10"/>
  <c r="G2" i="10" s="1"/>
  <c r="J2" i="10" s="1"/>
  <c r="M2" i="10" s="1"/>
  <c r="P2" i="10" s="1"/>
  <c r="R47" i="9"/>
  <c r="O47" i="9"/>
  <c r="L47" i="9"/>
  <c r="I47" i="9"/>
  <c r="F47" i="9"/>
  <c r="R36" i="9"/>
  <c r="O36" i="9"/>
  <c r="L36" i="9"/>
  <c r="I36" i="9"/>
  <c r="F36" i="9"/>
  <c r="R25" i="9"/>
  <c r="O25" i="9"/>
  <c r="L25" i="9"/>
  <c r="I25" i="9"/>
  <c r="F25" i="9"/>
  <c r="R14" i="9"/>
  <c r="O14" i="9"/>
  <c r="L14" i="9"/>
  <c r="I14" i="9"/>
  <c r="F14" i="9"/>
  <c r="D2" i="9"/>
  <c r="G2" i="9" s="1"/>
  <c r="J2" i="9" s="1"/>
  <c r="M2" i="9" s="1"/>
  <c r="P2" i="9" s="1"/>
  <c r="R47" i="8"/>
  <c r="O47" i="8"/>
  <c r="L47" i="8"/>
  <c r="I47" i="8"/>
  <c r="F47" i="8"/>
  <c r="R36" i="8"/>
  <c r="O36" i="8"/>
  <c r="L36" i="8"/>
  <c r="I36" i="8"/>
  <c r="F36" i="8"/>
  <c r="R25" i="8"/>
  <c r="O25" i="8"/>
  <c r="L25" i="8"/>
  <c r="I25" i="8"/>
  <c r="F25" i="8"/>
  <c r="R14" i="8"/>
  <c r="O14" i="8"/>
  <c r="L14" i="8"/>
  <c r="I14" i="8"/>
  <c r="F14" i="8"/>
  <c r="D2" i="8"/>
  <c r="G2" i="8" s="1"/>
  <c r="J2" i="8" s="1"/>
  <c r="M2" i="8" s="1"/>
  <c r="P2" i="8" s="1"/>
  <c r="R47" i="7" l="1"/>
  <c r="O47" i="7"/>
  <c r="L47" i="7"/>
  <c r="I47" i="7"/>
  <c r="F47" i="7"/>
  <c r="R36" i="7"/>
  <c r="R25" i="7"/>
  <c r="R14" i="7"/>
  <c r="D2" i="7"/>
  <c r="G2" i="7" s="1"/>
  <c r="J2" i="7" s="1"/>
  <c r="M2" i="7" s="1"/>
  <c r="P2" i="7" s="1"/>
  <c r="D2" i="6"/>
  <c r="G2" i="6"/>
  <c r="J2" i="6" s="1"/>
  <c r="M2" i="6" s="1"/>
  <c r="P2" i="6" s="1"/>
  <c r="R47" i="6" l="1"/>
  <c r="O47" i="6"/>
  <c r="L47" i="6"/>
  <c r="I47" i="6"/>
  <c r="F47" i="6"/>
  <c r="R36" i="6"/>
  <c r="O36" i="6"/>
  <c r="L36" i="6"/>
  <c r="I36" i="6"/>
  <c r="F36" i="6"/>
  <c r="R25" i="6"/>
  <c r="O25" i="6"/>
  <c r="L25" i="6"/>
  <c r="I25" i="6"/>
  <c r="F25" i="6"/>
  <c r="R14" i="6"/>
  <c r="O14" i="6"/>
  <c r="L14" i="6"/>
  <c r="I14" i="6"/>
  <c r="F14" i="6"/>
  <c r="R47" i="5"/>
  <c r="O47" i="5"/>
  <c r="L47" i="5"/>
  <c r="I47" i="5"/>
  <c r="F47" i="5"/>
  <c r="R36" i="5" l="1"/>
  <c r="O36" i="5"/>
  <c r="L36" i="5"/>
  <c r="I36" i="5"/>
  <c r="F36" i="5"/>
  <c r="R25" i="5"/>
  <c r="O25" i="5"/>
  <c r="L25" i="5"/>
  <c r="I25" i="5"/>
  <c r="F25" i="5"/>
  <c r="R14" i="5"/>
  <c r="O14" i="5"/>
  <c r="L14" i="5"/>
  <c r="I14" i="5"/>
  <c r="F14" i="5"/>
  <c r="G2" i="5"/>
  <c r="J2" i="5" s="1"/>
  <c r="P2" i="5" s="1"/>
  <c r="R36" i="4"/>
  <c r="O36" i="4"/>
  <c r="L36" i="4"/>
  <c r="I36" i="4"/>
  <c r="F36" i="4"/>
  <c r="R25" i="4"/>
  <c r="O25" i="4"/>
  <c r="L25" i="4"/>
  <c r="I25" i="4"/>
  <c r="F25" i="4"/>
  <c r="R14" i="4"/>
  <c r="O14" i="4"/>
  <c r="L14" i="4"/>
  <c r="I14" i="4"/>
  <c r="F14" i="4"/>
  <c r="G2" i="4"/>
  <c r="J2" i="4" s="1"/>
  <c r="M2" i="4" s="1"/>
  <c r="P2" i="4" s="1"/>
  <c r="R25" i="2"/>
  <c r="O25" i="2"/>
  <c r="L25" i="2"/>
  <c r="I25" i="2"/>
  <c r="R14" i="2"/>
  <c r="O14" i="2"/>
  <c r="L14" i="2"/>
  <c r="I14" i="2"/>
  <c r="R36" i="2" l="1"/>
  <c r="O36" i="2"/>
  <c r="L36" i="2"/>
  <c r="I36" i="2"/>
  <c r="F36" i="2"/>
  <c r="F25" i="2"/>
  <c r="F14" i="2"/>
  <c r="G2" i="2"/>
  <c r="J2" i="2" s="1"/>
  <c r="M2" i="2" s="1"/>
  <c r="P2" i="2" s="1"/>
  <c r="R36" i="1"/>
  <c r="O36" i="1"/>
  <c r="L36" i="1"/>
  <c r="I36" i="1"/>
  <c r="F36" i="1"/>
  <c r="R25" i="1"/>
  <c r="O25" i="1"/>
  <c r="L25" i="1"/>
  <c r="I25" i="1"/>
  <c r="F25" i="1"/>
  <c r="R14" i="1"/>
  <c r="O14" i="1"/>
  <c r="L14" i="1"/>
  <c r="I14" i="1"/>
  <c r="F14" i="1"/>
  <c r="G2" i="1" l="1"/>
  <c r="J2" i="1" s="1"/>
  <c r="M2" i="1" s="1"/>
  <c r="P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01AE95F5-D57E-4DEC-8D0D-80B4D2CD1809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8A5DFA30-BC53-4F25-A46A-B5650471EB6A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5ED03DD0-3FB5-4CC3-B02F-BF1FD9628C82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54E290E9-993B-4468-898C-1E7D20898587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92DEBA55-DA2D-485E-B5C4-27243F081C2D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4EBB76EA-9AE1-46D0-A192-7F1422BAF3DC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D151BB9D-CDCA-4F9B-9860-F3EFFE43FC1B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3B247DE7-A568-48CE-A1B2-B2193190C7DE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0D78DEE9-E095-4B15-BE52-5B5D1A6E1239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B7D1AD2C-65C6-4287-BA4A-30C870693E61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96C06478-CED8-4FD0-95BD-BDEB959100CA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8F68E496-8374-4876-A1D5-B442E9B4DF45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830C52B3-CD05-4010-8635-36D906EC43BA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8ACEF839-27DC-410A-A90C-543F4C7E5E5F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F0C9440B-68F9-4DFC-AD2E-79D51AA0FB1F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5BB891BE-6D61-4599-BBB0-B6FF775044FA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C53795C1-8A5F-49F6-BE42-BB3DC0D7E4B8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5848AAD9-E1B7-4D60-BD41-FC133AA1C94E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CAEE0FB0-3E53-46E3-8163-BE14AD1CB52E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513BFEF1-2AEE-460C-8FD2-32B1CD17E5E5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C28E9D6F-DF8F-48D3-8749-EEBAFC38ADD9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F1FF689E-51A8-49FD-BC66-887F6A1E38CB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AE04A27A-FC89-478E-8C2A-7629193AEC23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4F4AB9A6-34B5-4C87-AF68-44AAF3704BF6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08503092-52C8-4CB4-BBE6-44AE3A46E886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2D0E6376-7D15-4954-B8BB-0B6266514070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96CB6B36-EFE0-4A38-83C5-FE89ECB2F7C8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8AD34735-4B3E-4358-9ECD-641868F419C7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5A28ED31-743F-4FDF-AB64-BFE460A53930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FB8499EA-E771-47DD-8DA1-14EBAC21579F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CBD6B771-E85B-435A-A338-B18986C81FAC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54160CB5-D2A9-4DC7-928F-C6A88BFD13C3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0D95F29C-B315-44C0-9E64-8FDE002BE7F6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D2952056-D013-4538-806E-46AF713DE050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4607AE9F-0F07-40E7-8D1E-9263A7CD5296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0E7EFCDC-1E1B-4723-87D9-993D3DEAC40F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F066F48B-21F5-403E-94AA-21DD4A9C9CB1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CEFCC03D-964A-492E-9863-33AFE4FC61CD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F708202D-9ADC-48C1-BAB7-F1F696018A95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76658AD8-FEED-4C4C-9837-358D608D3333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F5A47A24-2F69-4398-819C-DF5A466582D6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47576118-BDCA-4C43-A786-10EC7ECCCEEB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B0193F40-1537-43D9-AD62-2A7A9B40B374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49F66F04-9598-4B13-BC43-AACBDE2149C0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AECBCB30-2682-45F8-A6E7-D1F32C841935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EB1CF30D-AE1E-4624-B1CC-2AEB7582EF0D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B5557F6E-F4FE-4B66-9935-214245E68DB8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8C4C959C-2003-4AB2-940E-66609FB46B5E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D67B7721-247A-4CE0-844C-B2D0D630077C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2057201E-F2DE-4A10-8FEC-142318884118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5D041ED5-5AD6-449F-9535-391E217BE3E1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D0977959-7F1F-4F79-90C7-D154DAD6946D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0BE1D23F-5964-40B6-A902-851CE32AA079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FBB64400-10D1-459C-B7FD-B73F3B294553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37375735-E7EA-4548-AC4C-B9645619C690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AFF6DA00-E746-42C2-BF7F-C8EEC1323B1C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B886C010-8EEF-425D-9692-C7C923D7AE1F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E7FBF4FF-4B52-40D9-9889-136AEFE0CDD7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AC2BC753-0AEC-4A73-AD01-BF14B46AC7D0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FE5A41B0-1F43-4306-9992-E326EAC5F026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D1556526-3317-4953-9A23-BF635DE43799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C73430BF-D43E-454D-B4FB-1CDAAC57B8B6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新名 洋幸</author>
  </authors>
  <commentList>
    <comment ref="D1" authorId="0" shapeId="0" xr:uid="{84426235-180D-4788-88BD-56D05FD3A9FD}">
      <text>
        <r>
          <rPr>
            <b/>
            <sz val="9"/>
            <color indexed="81"/>
            <rFont val="MS P ゴシック"/>
            <family val="3"/>
            <charset val="128"/>
          </rPr>
          <t>対象の月曜日を入力</t>
        </r>
      </text>
    </comment>
    <comment ref="F2" authorId="0" shapeId="0" xr:uid="{CBAF88EA-C215-457D-8D32-A3C696C8C6F6}">
      <text>
        <r>
          <rPr>
            <b/>
            <sz val="9"/>
            <color indexed="81"/>
            <rFont val="MS P ゴシック"/>
            <family val="3"/>
            <charset val="128"/>
          </rPr>
          <t>午前3
午後4.75</t>
        </r>
      </text>
    </comment>
  </commentList>
</comments>
</file>

<file path=xl/sharedStrings.xml><?xml version="1.0" encoding="utf-8"?>
<sst xmlns="http://schemas.openxmlformats.org/spreadsheetml/2006/main" count="4351" uniqueCount="1057">
  <si>
    <t>※必ず業務予定は7時間に収めること！</t>
  </si>
  <si>
    <t>週間スケジュール表</t>
    <phoneticPr fontId="5"/>
  </si>
  <si>
    <t>商品開発室</t>
    <rPh sb="0" eb="4">
      <t>ショウヒンカイハツ</t>
    </rPh>
    <rPh sb="4" eb="5">
      <t>シツ</t>
    </rPh>
    <phoneticPr fontId="5"/>
  </si>
  <si>
    <t>日（月）</t>
  </si>
  <si>
    <t>時間(ｈ)</t>
  </si>
  <si>
    <t>日（火）</t>
  </si>
  <si>
    <t>日（水）</t>
  </si>
  <si>
    <t>日（木）</t>
  </si>
  <si>
    <t>日（金）</t>
  </si>
  <si>
    <t>午前</t>
  </si>
  <si>
    <t>【定例】朝礼、清掃、髙陽当日予定・遅れ等確認</t>
    <rPh sb="1" eb="3">
      <t>テイレイ</t>
    </rPh>
    <rPh sb="4" eb="6">
      <t>チョウレイ</t>
    </rPh>
    <rPh sb="7" eb="9">
      <t>セイソウ</t>
    </rPh>
    <rPh sb="10" eb="12">
      <t>タカヒ</t>
    </rPh>
    <rPh sb="12" eb="14">
      <t>トウジツ</t>
    </rPh>
    <rPh sb="14" eb="16">
      <t>ヨテイ</t>
    </rPh>
    <rPh sb="17" eb="18">
      <t>オク</t>
    </rPh>
    <rPh sb="19" eb="20">
      <t>トウ</t>
    </rPh>
    <rPh sb="20" eb="22">
      <t>カクニン</t>
    </rPh>
    <phoneticPr fontId="5"/>
  </si>
  <si>
    <t>【定例】保養所防火管理日次チェック票取りまとめ</t>
    <rPh sb="1" eb="3">
      <t>テイレイ</t>
    </rPh>
    <rPh sb="7" eb="9">
      <t>ボウカ</t>
    </rPh>
    <rPh sb="9" eb="11">
      <t>カンリ</t>
    </rPh>
    <rPh sb="11" eb="13">
      <t>ニチジ</t>
    </rPh>
    <rPh sb="17" eb="18">
      <t>ヒョウ</t>
    </rPh>
    <rPh sb="18" eb="19">
      <t>ト</t>
    </rPh>
    <phoneticPr fontId="5"/>
  </si>
  <si>
    <t>【開発】経理業務RPA化　2社作成（4/40社完了）</t>
    <rPh sb="1" eb="3">
      <t>カイハツ</t>
    </rPh>
    <rPh sb="4" eb="6">
      <t>ケイリ</t>
    </rPh>
    <rPh sb="6" eb="8">
      <t>ギョウム</t>
    </rPh>
    <rPh sb="11" eb="12">
      <t>カ</t>
    </rPh>
    <rPh sb="14" eb="15">
      <t>シャ</t>
    </rPh>
    <rPh sb="15" eb="17">
      <t>サクセイ</t>
    </rPh>
    <rPh sb="22" eb="23">
      <t>シャ</t>
    </rPh>
    <rPh sb="23" eb="25">
      <t>カンリョウ</t>
    </rPh>
    <phoneticPr fontId="5"/>
  </si>
  <si>
    <t>【開発】経理業務RPA化　2社作成（8/40社完了）</t>
    <rPh sb="1" eb="3">
      <t>カイハツ</t>
    </rPh>
    <rPh sb="4" eb="6">
      <t>ケイリ</t>
    </rPh>
    <rPh sb="6" eb="8">
      <t>ギョウム</t>
    </rPh>
    <rPh sb="11" eb="12">
      <t>カ</t>
    </rPh>
    <rPh sb="14" eb="15">
      <t>シャ</t>
    </rPh>
    <rPh sb="15" eb="17">
      <t>サクセイ</t>
    </rPh>
    <rPh sb="22" eb="23">
      <t>シャ</t>
    </rPh>
    <rPh sb="23" eb="25">
      <t>カンリョウ</t>
    </rPh>
    <phoneticPr fontId="5"/>
  </si>
  <si>
    <t>【開発】どっと原価管理入力操作説明準備</t>
    <rPh sb="1" eb="3">
      <t>カイハツ</t>
    </rPh>
    <rPh sb="7" eb="9">
      <t>ゲンカ</t>
    </rPh>
    <rPh sb="9" eb="11">
      <t>カンリ</t>
    </rPh>
    <rPh sb="11" eb="13">
      <t>ニュウリョク</t>
    </rPh>
    <rPh sb="13" eb="15">
      <t>ソウサ</t>
    </rPh>
    <rPh sb="15" eb="17">
      <t>セツメイ</t>
    </rPh>
    <rPh sb="17" eb="19">
      <t>ジュンビ</t>
    </rPh>
    <phoneticPr fontId="5"/>
  </si>
  <si>
    <t>【開発】経理業務RPA化　2社作成（13/40社完了）</t>
    <rPh sb="1" eb="3">
      <t>カイハツ</t>
    </rPh>
    <rPh sb="4" eb="6">
      <t>ケイリ</t>
    </rPh>
    <rPh sb="6" eb="8">
      <t>ギョウム</t>
    </rPh>
    <rPh sb="11" eb="12">
      <t>カ</t>
    </rPh>
    <rPh sb="14" eb="15">
      <t>シャ</t>
    </rPh>
    <rPh sb="15" eb="17">
      <t>サクセイ</t>
    </rPh>
    <rPh sb="23" eb="24">
      <t>シャ</t>
    </rPh>
    <rPh sb="24" eb="26">
      <t>カンリョウ</t>
    </rPh>
    <phoneticPr fontId="5"/>
  </si>
  <si>
    <t>【定例】管理職養成セミナー</t>
    <rPh sb="1" eb="3">
      <t>テイレイ</t>
    </rPh>
    <rPh sb="4" eb="6">
      <t>カンリ</t>
    </rPh>
    <rPh sb="6" eb="7">
      <t>ショク</t>
    </rPh>
    <rPh sb="7" eb="9">
      <t>ヨウセイ</t>
    </rPh>
    <phoneticPr fontId="5"/>
  </si>
  <si>
    <t>【開発】どっと原価管理入力操作説明（10：00～12：00）</t>
    <rPh sb="1" eb="3">
      <t>カイハツ</t>
    </rPh>
    <rPh sb="7" eb="9">
      <t>ゲンカ</t>
    </rPh>
    <rPh sb="9" eb="11">
      <t>カンリ</t>
    </rPh>
    <rPh sb="11" eb="13">
      <t>ニュウリョク</t>
    </rPh>
    <rPh sb="13" eb="15">
      <t>ソウサ</t>
    </rPh>
    <rPh sb="15" eb="17">
      <t>セツメイ</t>
    </rPh>
    <phoneticPr fontId="5"/>
  </si>
  <si>
    <t>【開発】経理業務RPA化　2社作成（17/40社完了）</t>
    <rPh sb="1" eb="3">
      <t>カイハツ</t>
    </rPh>
    <rPh sb="4" eb="6">
      <t>ケイリ</t>
    </rPh>
    <rPh sb="6" eb="8">
      <t>ギョウム</t>
    </rPh>
    <rPh sb="11" eb="12">
      <t>カ</t>
    </rPh>
    <rPh sb="14" eb="15">
      <t>シャ</t>
    </rPh>
    <rPh sb="15" eb="17">
      <t>サクセイ</t>
    </rPh>
    <rPh sb="23" eb="24">
      <t>シャ</t>
    </rPh>
    <rPh sb="24" eb="26">
      <t>カンリョウ</t>
    </rPh>
    <phoneticPr fontId="5"/>
  </si>
  <si>
    <t>【特別】拠点ルーター更新（埼玉・仙台・札幌・与野ビル）</t>
    <rPh sb="13" eb="15">
      <t>サイタマ</t>
    </rPh>
    <rPh sb="16" eb="18">
      <t>センダイ</t>
    </rPh>
    <rPh sb="19" eb="21">
      <t>サッポロ</t>
    </rPh>
    <rPh sb="22" eb="24">
      <t>ヨノ</t>
    </rPh>
    <phoneticPr fontId="5"/>
  </si>
  <si>
    <t>午後</t>
  </si>
  <si>
    <t>【開発】経理業務RPA化　2社作成（6/40社完了）</t>
    <rPh sb="1" eb="3">
      <t>カイハツ</t>
    </rPh>
    <rPh sb="4" eb="6">
      <t>ケイリ</t>
    </rPh>
    <rPh sb="6" eb="8">
      <t>ギョウム</t>
    </rPh>
    <rPh sb="11" eb="12">
      <t>カ</t>
    </rPh>
    <rPh sb="14" eb="15">
      <t>シャ</t>
    </rPh>
    <rPh sb="15" eb="17">
      <t>サクセイ</t>
    </rPh>
    <rPh sb="22" eb="23">
      <t>シャ</t>
    </rPh>
    <rPh sb="23" eb="25">
      <t>カンリョウ</t>
    </rPh>
    <phoneticPr fontId="5"/>
  </si>
  <si>
    <t>【開発】経理業務RPA化　1社作成（9/40社完了）</t>
    <rPh sb="1" eb="3">
      <t>カイハツ</t>
    </rPh>
    <rPh sb="4" eb="6">
      <t>ケイリ</t>
    </rPh>
    <rPh sb="6" eb="8">
      <t>ギョウム</t>
    </rPh>
    <rPh sb="11" eb="12">
      <t>カ</t>
    </rPh>
    <rPh sb="14" eb="15">
      <t>シャ</t>
    </rPh>
    <rPh sb="15" eb="17">
      <t>サクセイ</t>
    </rPh>
    <rPh sb="22" eb="23">
      <t>シャ</t>
    </rPh>
    <rPh sb="23" eb="25">
      <t>カンリョウ</t>
    </rPh>
    <phoneticPr fontId="5"/>
  </si>
  <si>
    <t>【開発】経理業務RPA化　2社作成（11/40社完了）</t>
    <rPh sb="1" eb="3">
      <t>カイハツ</t>
    </rPh>
    <rPh sb="4" eb="6">
      <t>ケイリ</t>
    </rPh>
    <rPh sb="6" eb="8">
      <t>ギョウム</t>
    </rPh>
    <rPh sb="11" eb="12">
      <t>カ</t>
    </rPh>
    <rPh sb="14" eb="15">
      <t>シャ</t>
    </rPh>
    <rPh sb="15" eb="17">
      <t>サクセイ</t>
    </rPh>
    <rPh sb="23" eb="24">
      <t>シャ</t>
    </rPh>
    <rPh sb="24" eb="26">
      <t>カンリョウ</t>
    </rPh>
    <phoneticPr fontId="5"/>
  </si>
  <si>
    <t>【定例】週間スケジュール作成・提出</t>
    <rPh sb="4" eb="6">
      <t>シュウカン</t>
    </rPh>
    <rPh sb="12" eb="14">
      <t>サクセイ</t>
    </rPh>
    <rPh sb="15" eb="17">
      <t>テイシュツ</t>
    </rPh>
    <phoneticPr fontId="5"/>
  </si>
  <si>
    <t>【開発】経理業務RPA化　2社作成（19/40社完了）</t>
    <rPh sb="1" eb="3">
      <t>カイハツ</t>
    </rPh>
    <rPh sb="4" eb="6">
      <t>ケイリ</t>
    </rPh>
    <rPh sb="6" eb="8">
      <t>ギョウム</t>
    </rPh>
    <rPh sb="11" eb="12">
      <t>カ</t>
    </rPh>
    <rPh sb="14" eb="15">
      <t>シャ</t>
    </rPh>
    <rPh sb="15" eb="17">
      <t>サクセイ</t>
    </rPh>
    <rPh sb="23" eb="24">
      <t>シャ</t>
    </rPh>
    <rPh sb="24" eb="26">
      <t>カンリョウ</t>
    </rPh>
    <phoneticPr fontId="5"/>
  </si>
  <si>
    <t>【開発】どっと原価管理入力操作説明資料作成・送付</t>
    <rPh sb="1" eb="3">
      <t>カイハツ</t>
    </rPh>
    <rPh sb="7" eb="9">
      <t>ゲンカ</t>
    </rPh>
    <rPh sb="9" eb="11">
      <t>カンリ</t>
    </rPh>
    <rPh sb="11" eb="13">
      <t>ニュウリョク</t>
    </rPh>
    <rPh sb="13" eb="15">
      <t>ソウサ</t>
    </rPh>
    <rPh sb="15" eb="17">
      <t>セツメイ</t>
    </rPh>
    <rPh sb="17" eb="19">
      <t>シリョウ</t>
    </rPh>
    <rPh sb="19" eb="21">
      <t>サクセイ</t>
    </rPh>
    <rPh sb="22" eb="24">
      <t>ソウフ</t>
    </rPh>
    <phoneticPr fontId="5"/>
  </si>
  <si>
    <t>【開発】申請システム管理室操作説明準備</t>
    <rPh sb="1" eb="3">
      <t>カイハツ</t>
    </rPh>
    <rPh sb="4" eb="6">
      <t>シンセイ</t>
    </rPh>
    <rPh sb="10" eb="12">
      <t>カンリ</t>
    </rPh>
    <rPh sb="12" eb="13">
      <t>シツ</t>
    </rPh>
    <rPh sb="13" eb="15">
      <t>ソウサ</t>
    </rPh>
    <rPh sb="15" eb="17">
      <t>セツメイ</t>
    </rPh>
    <rPh sb="17" eb="19">
      <t>ジュンビ</t>
    </rPh>
    <phoneticPr fontId="5"/>
  </si>
  <si>
    <t>【開発】経理業務RPA化　2社作成（15/40社完了）</t>
    <rPh sb="1" eb="3">
      <t>カイハツ</t>
    </rPh>
    <rPh sb="4" eb="6">
      <t>ケイリ</t>
    </rPh>
    <rPh sb="6" eb="8">
      <t>ギョウム</t>
    </rPh>
    <rPh sb="11" eb="12">
      <t>カ</t>
    </rPh>
    <rPh sb="14" eb="15">
      <t>シャ</t>
    </rPh>
    <rPh sb="15" eb="17">
      <t>サクセイ</t>
    </rPh>
    <rPh sb="23" eb="24">
      <t>シャ</t>
    </rPh>
    <rPh sb="24" eb="26">
      <t>カンリョウ</t>
    </rPh>
    <phoneticPr fontId="5"/>
  </si>
  <si>
    <t>【開発】申請システム管理室操作説明</t>
    <rPh sb="1" eb="3">
      <t>カイハツ</t>
    </rPh>
    <rPh sb="4" eb="6">
      <t>シンセイ</t>
    </rPh>
    <rPh sb="10" eb="12">
      <t>カンリ</t>
    </rPh>
    <rPh sb="12" eb="13">
      <t>シツ</t>
    </rPh>
    <rPh sb="13" eb="15">
      <t>ソウサ</t>
    </rPh>
    <rPh sb="15" eb="17">
      <t>セツメイ</t>
    </rPh>
    <phoneticPr fontId="5"/>
  </si>
  <si>
    <t>【定例】業務報告、髙陽進捗状況・配慮活動等確認</t>
    <rPh sb="4" eb="6">
      <t>ギョウム</t>
    </rPh>
    <rPh sb="6" eb="8">
      <t>ホウコク</t>
    </rPh>
    <rPh sb="9" eb="11">
      <t>タカヒ</t>
    </rPh>
    <rPh sb="11" eb="13">
      <t>シンチョク</t>
    </rPh>
    <rPh sb="13" eb="15">
      <t>ジョウキョウ</t>
    </rPh>
    <rPh sb="16" eb="20">
      <t>ハイリョカツドウ</t>
    </rPh>
    <rPh sb="20" eb="21">
      <t>トウ</t>
    </rPh>
    <rPh sb="21" eb="23">
      <t>カクニン</t>
    </rPh>
    <phoneticPr fontId="5"/>
  </si>
  <si>
    <t>内田</t>
    <rPh sb="0" eb="2">
      <t>ウチダ</t>
    </rPh>
    <phoneticPr fontId="1"/>
  </si>
  <si>
    <t>新名</t>
    <rPh sb="0" eb="2">
      <t>ニイナ</t>
    </rPh>
    <phoneticPr fontId="1"/>
  </si>
  <si>
    <t>【開発】競走馬：出走結果確認・情報発信</t>
  </si>
  <si>
    <t>【NPO】社員参加者　6月度経理送付</t>
    <rPh sb="5" eb="7">
      <t>シャイン</t>
    </rPh>
    <rPh sb="7" eb="10">
      <t>サンカシャ</t>
    </rPh>
    <rPh sb="12" eb="13">
      <t>ガツ</t>
    </rPh>
    <rPh sb="13" eb="14">
      <t>ド</t>
    </rPh>
    <rPh sb="14" eb="16">
      <t>ケイリ</t>
    </rPh>
    <rPh sb="16" eb="18">
      <t>ソウフ</t>
    </rPh>
    <phoneticPr fontId="5"/>
  </si>
  <si>
    <t>【NPO】セミナー受講者一覧送付</t>
    <phoneticPr fontId="5"/>
  </si>
  <si>
    <t>随時</t>
  </si>
  <si>
    <t>来週週次予定の入力・更新　再来週（Outlook確認</t>
  </si>
  <si>
    <t>随時</t>
    <rPh sb="0" eb="2">
      <t>ズイジ</t>
    </rPh>
    <phoneticPr fontId="5"/>
  </si>
  <si>
    <t>【NPO】申込対応/顧客対応/請求書・領収書作成</t>
  </si>
  <si>
    <t>【管理】東さんMTG用の　「総則」たたき準備</t>
  </si>
  <si>
    <t>【Webセミナー】　配筋図ボックス2　10:00～16:00/前後準備</t>
    <phoneticPr fontId="5"/>
  </si>
  <si>
    <t>【総研】大嶋さん動的解析セミナー　10:00-11:30</t>
  </si>
  <si>
    <t>【管理】IT補助金　経過報告回答（今週必須</t>
    <rPh sb="17" eb="19">
      <t>コンシュウ</t>
    </rPh>
    <rPh sb="19" eb="21">
      <t>ヒッス</t>
    </rPh>
    <phoneticPr fontId="5"/>
  </si>
  <si>
    <t>【管理】5月度調教報告書　調教師FAX送付</t>
  </si>
  <si>
    <t>【NPO】申込対応/顧客対応/領収書作成（大臣入力</t>
  </si>
  <si>
    <t>【開発】Googleアナリティクスレポート</t>
    <rPh sb="1" eb="3">
      <t>カイハツ</t>
    </rPh>
    <phoneticPr fontId="5"/>
  </si>
  <si>
    <t>【NPO】7/17参加者　資料配信</t>
    <phoneticPr fontId="5"/>
  </si>
  <si>
    <t>【NPO】アンケート集計/CPD発行</t>
  </si>
  <si>
    <t>※11:30準備</t>
    <rPh sb="6" eb="8">
      <t>ジュンビ</t>
    </rPh>
    <phoneticPr fontId="5"/>
  </si>
  <si>
    <t>【NPO】7/17参加者　入金確認</t>
    <phoneticPr fontId="5"/>
  </si>
  <si>
    <t>【管理】東さんMTG用の　「総則」たたき準備　予備</t>
    <rPh sb="23" eb="25">
      <t>ヨビ</t>
    </rPh>
    <phoneticPr fontId="5"/>
  </si>
  <si>
    <t>【管理】車検書類（8/9,8/19期限）送付</t>
    <phoneticPr fontId="5"/>
  </si>
  <si>
    <t>【Webセミナー】　水理応用　13：30～16：30/前後準備</t>
    <rPh sb="12" eb="14">
      <t>オウヨウ</t>
    </rPh>
    <phoneticPr fontId="5"/>
  </si>
  <si>
    <t>【NPO】CPD送付までの管理Excel　確認</t>
  </si>
  <si>
    <t>【管理】車検書類（8/9,8/19期限）送付準備</t>
    <rPh sb="4" eb="6">
      <t>シャケン</t>
    </rPh>
    <rPh sb="6" eb="8">
      <t>ショルイ</t>
    </rPh>
    <rPh sb="17" eb="19">
      <t>キゲン</t>
    </rPh>
    <rPh sb="20" eb="22">
      <t>ソウフ</t>
    </rPh>
    <rPh sb="22" eb="24">
      <t>ジュンビ</t>
    </rPh>
    <phoneticPr fontId="5"/>
  </si>
  <si>
    <t>【Webセミナー】　なぜFEM　13：30～16：30/前後準備</t>
    <phoneticPr fontId="5"/>
  </si>
  <si>
    <t>【管理】東さんMTG用の　「総則」たたき準備</t>
    <rPh sb="10" eb="11">
      <t>ヨウ</t>
    </rPh>
    <rPh sb="14" eb="16">
      <t>ソウソク</t>
    </rPh>
    <rPh sb="20" eb="22">
      <t>ジュンビ</t>
    </rPh>
    <phoneticPr fontId="5"/>
  </si>
  <si>
    <t>【NPO】7/16参加者　資料配信/入金確認</t>
    <phoneticPr fontId="5"/>
  </si>
  <si>
    <t>【NPO】セミナー受講者一覧送付</t>
  </si>
  <si>
    <t>【管理】調教報告書　ファームウェブ入力</t>
  </si>
  <si>
    <t>【NPO】7/19参加者　資料配信/入金確認</t>
    <phoneticPr fontId="5"/>
  </si>
  <si>
    <t>【管理】東さんMTG　15時～</t>
    <phoneticPr fontId="5"/>
  </si>
  <si>
    <t>【開発】競走馬：出走予定・情報発信　16時半～</t>
  </si>
  <si>
    <t>【NPO】Webセミナー　申込情報更新　１６時～</t>
    <phoneticPr fontId="5"/>
  </si>
  <si>
    <t>髙陽</t>
    <rPh sb="0" eb="2">
      <t>タカヒ</t>
    </rPh>
    <phoneticPr fontId="1"/>
  </si>
  <si>
    <t>【定例】統括会議</t>
    <rPh sb="1" eb="3">
      <t>テイレイ</t>
    </rPh>
    <rPh sb="4" eb="8">
      <t>トウカツカイギ</t>
    </rPh>
    <phoneticPr fontId="5"/>
  </si>
  <si>
    <t>【定例】朝礼、清掃、当日予定確認</t>
    <rPh sb="1" eb="3">
      <t>テイレイ</t>
    </rPh>
    <rPh sb="4" eb="6">
      <t>チョウレイ</t>
    </rPh>
    <rPh sb="7" eb="9">
      <t>セイソウ</t>
    </rPh>
    <rPh sb="10" eb="12">
      <t>トウジツ</t>
    </rPh>
    <rPh sb="12" eb="14">
      <t>ヨテイ</t>
    </rPh>
    <rPh sb="14" eb="16">
      <t>カクニン</t>
    </rPh>
    <phoneticPr fontId="5"/>
  </si>
  <si>
    <t>【定例】業務報告・日報作成</t>
    <rPh sb="4" eb="6">
      <t>ギョウム</t>
    </rPh>
    <rPh sb="6" eb="8">
      <t>ホウコク</t>
    </rPh>
    <rPh sb="9" eb="13">
      <t>ニッポウサクセイ</t>
    </rPh>
    <phoneticPr fontId="5"/>
  </si>
  <si>
    <t>【定例】競走馬：出走予定・情報発信　確認</t>
    <rPh sb="1" eb="3">
      <t>テイレイ</t>
    </rPh>
    <rPh sb="18" eb="20">
      <t>カクニン</t>
    </rPh>
    <phoneticPr fontId="1"/>
  </si>
  <si>
    <t>【定例】出走結果確認</t>
    <rPh sb="1" eb="3">
      <t>テイレイ</t>
    </rPh>
    <rPh sb="4" eb="8">
      <t>シュッソウケッカ</t>
    </rPh>
    <rPh sb="8" eb="10">
      <t>カクニン</t>
    </rPh>
    <phoneticPr fontId="1"/>
  </si>
  <si>
    <t>【定例】保養所防火管理日次チェック押印</t>
    <rPh sb="1" eb="3">
      <t>テイレイ</t>
    </rPh>
    <rPh sb="7" eb="9">
      <t>ボウカ</t>
    </rPh>
    <rPh sb="9" eb="11">
      <t>カンリ</t>
    </rPh>
    <rPh sb="11" eb="13">
      <t>ニチジ</t>
    </rPh>
    <rPh sb="17" eb="19">
      <t>オウイン</t>
    </rPh>
    <phoneticPr fontId="5"/>
  </si>
  <si>
    <t>【定例】金曜日会議開催確認</t>
    <rPh sb="1" eb="3">
      <t>テイレイ</t>
    </rPh>
    <rPh sb="4" eb="7">
      <t>キンヨウビ</t>
    </rPh>
    <rPh sb="7" eb="9">
      <t>カイギ</t>
    </rPh>
    <rPh sb="9" eb="11">
      <t>カイサイ</t>
    </rPh>
    <rPh sb="11" eb="13">
      <t>カクニン</t>
    </rPh>
    <phoneticPr fontId="1"/>
  </si>
  <si>
    <t>【定例】翌週スケジュール確認</t>
    <rPh sb="1" eb="3">
      <t>テイレイ</t>
    </rPh>
    <rPh sb="4" eb="6">
      <t>ヨクシュウ</t>
    </rPh>
    <rPh sb="12" eb="14">
      <t>カクニン</t>
    </rPh>
    <phoneticPr fontId="1"/>
  </si>
  <si>
    <t>【開発】AIデータ収集資料作成</t>
    <rPh sb="1" eb="3">
      <t>カイハツ</t>
    </rPh>
    <rPh sb="9" eb="11">
      <t>シュウシュウ</t>
    </rPh>
    <rPh sb="11" eb="15">
      <t>シリョウサクセイ</t>
    </rPh>
    <phoneticPr fontId="1"/>
  </si>
  <si>
    <t>【特別】名古屋WiFi対応</t>
    <rPh sb="1" eb="3">
      <t>トクベツ</t>
    </rPh>
    <rPh sb="4" eb="7">
      <t>ナゴヤ</t>
    </rPh>
    <rPh sb="11" eb="13">
      <t>タイオウ</t>
    </rPh>
    <phoneticPr fontId="1"/>
  </si>
  <si>
    <t>合計</t>
    <rPh sb="0" eb="2">
      <t>ゴウケイ</t>
    </rPh>
    <phoneticPr fontId="1"/>
  </si>
  <si>
    <t>【開発】共同研究：浦上打合せ</t>
    <rPh sb="1" eb="3">
      <t>カイハツ</t>
    </rPh>
    <rPh sb="4" eb="8">
      <t>キョウドウケンキュウ</t>
    </rPh>
    <rPh sb="9" eb="11">
      <t>ウラガミ</t>
    </rPh>
    <rPh sb="11" eb="13">
      <t>ウチアワ</t>
    </rPh>
    <phoneticPr fontId="5"/>
  </si>
  <si>
    <t>【開発】AIデータ収集資料作成</t>
    <phoneticPr fontId="1"/>
  </si>
  <si>
    <t>【特別】広告連動：ホームページ編集</t>
    <phoneticPr fontId="1"/>
  </si>
  <si>
    <t>【特別】広告連動：動画撮影・編集</t>
    <rPh sb="1" eb="3">
      <t>トクベツ</t>
    </rPh>
    <rPh sb="4" eb="8">
      <t>コウコクレンドウ</t>
    </rPh>
    <rPh sb="9" eb="13">
      <t>ドウガサツエイ</t>
    </rPh>
    <rPh sb="14" eb="16">
      <t>ヘンシュウ</t>
    </rPh>
    <phoneticPr fontId="1"/>
  </si>
  <si>
    <t>【特別】競走馬：総合パンフレット編集</t>
    <rPh sb="4" eb="7">
      <t>キョウソウバ</t>
    </rPh>
    <rPh sb="8" eb="10">
      <t>ソウゴウ</t>
    </rPh>
    <rPh sb="16" eb="18">
      <t>ヘンシュウ</t>
    </rPh>
    <phoneticPr fontId="1"/>
  </si>
  <si>
    <t>【開発】共同研究：浦上打合せ</t>
    <phoneticPr fontId="1"/>
  </si>
  <si>
    <t>【開発】AIデータ収集PG検討</t>
    <rPh sb="13" eb="15">
      <t>ケントウ</t>
    </rPh>
    <phoneticPr fontId="1"/>
  </si>
  <si>
    <t>【開発】AIデータ収集PG検討</t>
    <phoneticPr fontId="1"/>
  </si>
  <si>
    <t>【特別】拠点ルーター更新（大分・福岡・大阪・名古屋）</t>
    <rPh sb="13" eb="15">
      <t>オオイタ</t>
    </rPh>
    <rPh sb="16" eb="18">
      <t>フクオカ</t>
    </rPh>
    <rPh sb="19" eb="21">
      <t>オオサカ</t>
    </rPh>
    <rPh sb="22" eb="25">
      <t>ナゴヤ</t>
    </rPh>
    <phoneticPr fontId="5"/>
  </si>
  <si>
    <t>【特別】拠点ルーター更新（豊高A・豊高C・豊高D）</t>
    <rPh sb="13" eb="14">
      <t>ユタカ</t>
    </rPh>
    <rPh sb="14" eb="15">
      <t>タカ</t>
    </rPh>
    <rPh sb="17" eb="18">
      <t>ユタカ</t>
    </rPh>
    <rPh sb="18" eb="19">
      <t>タカ</t>
    </rPh>
    <rPh sb="21" eb="22">
      <t>ユタカ</t>
    </rPh>
    <rPh sb="22" eb="23">
      <t>タカ</t>
    </rPh>
    <phoneticPr fontId="5"/>
  </si>
  <si>
    <t>【開発】勤怠管理システム公開</t>
    <rPh sb="1" eb="3">
      <t>カイハツ</t>
    </rPh>
    <rPh sb="4" eb="8">
      <t>キンタイカンリ</t>
    </rPh>
    <rPh sb="12" eb="14">
      <t>コウカイ</t>
    </rPh>
    <phoneticPr fontId="1"/>
  </si>
  <si>
    <t>【開発】どっと原価管理請求管理表（現行比較）</t>
    <rPh sb="11" eb="16">
      <t>セイキュウカンリヒョウ</t>
    </rPh>
    <rPh sb="17" eb="19">
      <t>ゲンコウ</t>
    </rPh>
    <rPh sb="19" eb="21">
      <t>ヒカク</t>
    </rPh>
    <phoneticPr fontId="5"/>
  </si>
  <si>
    <t>【開発】どっと原価管理請求管理表（結果報告）</t>
    <rPh sb="11" eb="16">
      <t>セイキュウカンリヒョウ</t>
    </rPh>
    <rPh sb="17" eb="19">
      <t>ケッカ</t>
    </rPh>
    <rPh sb="19" eb="21">
      <t>ホウコク</t>
    </rPh>
    <phoneticPr fontId="5"/>
  </si>
  <si>
    <t>【開発】どっと原価管理入金管理表（現行比較）</t>
    <rPh sb="11" eb="13">
      <t>ニュウキン</t>
    </rPh>
    <rPh sb="13" eb="15">
      <t>カンリ</t>
    </rPh>
    <rPh sb="15" eb="16">
      <t>ヒョウ</t>
    </rPh>
    <rPh sb="17" eb="19">
      <t>ゲンコウ</t>
    </rPh>
    <rPh sb="19" eb="21">
      <t>ヒカク</t>
    </rPh>
    <phoneticPr fontId="5"/>
  </si>
  <si>
    <t>【開発】経理業務RPA化　2社作成（11/35社完了）</t>
    <phoneticPr fontId="5"/>
  </si>
  <si>
    <t>【開発】申請システム 修正対応（日当計算）</t>
    <rPh sb="11" eb="13">
      <t>シュウセイ</t>
    </rPh>
    <rPh sb="16" eb="18">
      <t>ニットウ</t>
    </rPh>
    <rPh sb="18" eb="20">
      <t>ケイサン</t>
    </rPh>
    <phoneticPr fontId="5"/>
  </si>
  <si>
    <t>【開発】申請システム 不具合対応（申請検索）</t>
    <phoneticPr fontId="5"/>
  </si>
  <si>
    <t>【開発】申請システム 不具合対応（確定不可）</t>
    <phoneticPr fontId="5"/>
  </si>
  <si>
    <t>【開発】経理業務RPA化　2社作成（15/35社完了）</t>
    <phoneticPr fontId="5"/>
  </si>
  <si>
    <t>【開発】経理業務RPA化　1社作成（9/35社完了）</t>
    <phoneticPr fontId="5"/>
  </si>
  <si>
    <t>【開発】経理業務RPA化　1社作成（12/35社完了）</t>
    <phoneticPr fontId="5"/>
  </si>
  <si>
    <t>【開発】経理業務RPA化　1社作成（13/35社完了）</t>
    <phoneticPr fontId="5"/>
  </si>
  <si>
    <t>【Webセミナー】　BIMCIM　10:00～16:00/前後準備</t>
    <phoneticPr fontId="5"/>
  </si>
  <si>
    <t>【Webセミナー】　ボックス概論　10:00～16:00/前後準備</t>
    <rPh sb="14" eb="16">
      <t>ガイロン</t>
    </rPh>
    <phoneticPr fontId="5"/>
  </si>
  <si>
    <t>【Webセミナー】　配筋集水桝　10:00～16:00/前後準備</t>
    <rPh sb="10" eb="12">
      <t>ハイキン</t>
    </rPh>
    <rPh sb="12" eb="15">
      <t>シュウスイマス</t>
    </rPh>
    <phoneticPr fontId="5"/>
  </si>
  <si>
    <t>随時</t>
    <phoneticPr fontId="5"/>
  </si>
  <si>
    <t>【NPO】7/23参加者　資料配信</t>
    <phoneticPr fontId="5"/>
  </si>
  <si>
    <t>【NPO】7/24参加者　資料配信</t>
    <phoneticPr fontId="5"/>
  </si>
  <si>
    <t>【NPO】7/23参加者　入金確認</t>
    <phoneticPr fontId="5"/>
  </si>
  <si>
    <t>【NPO】7/24参加者　入金確認</t>
    <phoneticPr fontId="5"/>
  </si>
  <si>
    <t>【NPO】7月後半～8月度セミナー　ﾃｷｽﾄ修正確認</t>
  </si>
  <si>
    <t>【管理】東さんMTG　15時～（総則について</t>
    <rPh sb="16" eb="18">
      <t>ソウソク</t>
    </rPh>
    <phoneticPr fontId="5"/>
  </si>
  <si>
    <t>【NPO】長田さん　リハーサルURL/申込状況連絡</t>
    <rPh sb="5" eb="7">
      <t>オサダ</t>
    </rPh>
    <rPh sb="19" eb="21">
      <t>モウシコミ</t>
    </rPh>
    <rPh sb="21" eb="23">
      <t>ジョウキョウ</t>
    </rPh>
    <rPh sb="23" eb="25">
      <t>レンラク</t>
    </rPh>
    <phoneticPr fontId="5"/>
  </si>
  <si>
    <t>17：45分退社予定</t>
  </si>
  <si>
    <t>【特別】名古屋WiFi対応</t>
  </si>
  <si>
    <t>【開発】共同研究：浦上打合せ</t>
  </si>
  <si>
    <t>【特別】トレーニングマシン納品</t>
    <rPh sb="13" eb="15">
      <t>ノウヒン</t>
    </rPh>
    <phoneticPr fontId="1"/>
  </si>
  <si>
    <t>【特別】新入社員用PC準備</t>
    <rPh sb="4" eb="9">
      <t>シンニュウシャインヨウ</t>
    </rPh>
    <rPh sb="11" eb="13">
      <t>ジュンビ</t>
    </rPh>
    <phoneticPr fontId="1"/>
  </si>
  <si>
    <t>【Webセミナー】　地盤前編　10:00～16:00/前後準備</t>
    <rPh sb="10" eb="12">
      <t>ジバン</t>
    </rPh>
    <rPh sb="12" eb="14">
      <t>ゼンペン</t>
    </rPh>
    <phoneticPr fontId="5"/>
  </si>
  <si>
    <t>【NPO】長田さん　リハーサル　10:00～</t>
    <phoneticPr fontId="5"/>
  </si>
  <si>
    <t>【NPO】7/23参加者　資料配信</t>
  </si>
  <si>
    <t>【NPO】7/23参加者　入金確認</t>
  </si>
  <si>
    <t>【管理】東さんMTG　資料作成</t>
  </si>
  <si>
    <t>【NPO】ニチラボ　水理計算回答　資料作成</t>
  </si>
  <si>
    <t>【総研】書籍購入者　記録</t>
  </si>
  <si>
    <t>【NPO】セミナー受講者一覧送付（金曜日</t>
  </si>
  <si>
    <t>【管理】東さんMTG　15時～（勤務日数と休日の頁</t>
  </si>
  <si>
    <t>【開発】どっと原価管理入金管理表（移行作業）</t>
    <rPh sb="17" eb="19">
      <t>イコウ</t>
    </rPh>
    <rPh sb="19" eb="21">
      <t>サギョウ</t>
    </rPh>
    <phoneticPr fontId="5"/>
  </si>
  <si>
    <t>【開発】申請システム 調査（チェック方法）</t>
    <rPh sb="11" eb="13">
      <t>チョウサ</t>
    </rPh>
    <rPh sb="18" eb="20">
      <t>ホウホウ</t>
    </rPh>
    <phoneticPr fontId="5"/>
  </si>
  <si>
    <t>【開発】申請システム 検証（チェック方法）</t>
    <rPh sb="11" eb="13">
      <t>ケンショウ</t>
    </rPh>
    <rPh sb="18" eb="20">
      <t>ホウホウ</t>
    </rPh>
    <phoneticPr fontId="5"/>
  </si>
  <si>
    <t>【開発】経理業務RPA化　1社作成（11/35社完了）</t>
    <phoneticPr fontId="5"/>
  </si>
  <si>
    <t>【開発】どっと原価マスタ設定（移行作業）</t>
    <rPh sb="12" eb="14">
      <t>セッテイ</t>
    </rPh>
    <rPh sb="15" eb="17">
      <t>イコウ</t>
    </rPh>
    <rPh sb="17" eb="19">
      <t>サギョウ</t>
    </rPh>
    <phoneticPr fontId="5"/>
  </si>
  <si>
    <t>【開発】AIデータ収集PG検証</t>
    <rPh sb="13" eb="15">
      <t>ケンショウ</t>
    </rPh>
    <phoneticPr fontId="1"/>
  </si>
  <si>
    <t>動画撮影：志保社長様調整</t>
    <rPh sb="0" eb="2">
      <t>ドウガ</t>
    </rPh>
    <rPh sb="2" eb="4">
      <t>サツエイ</t>
    </rPh>
    <rPh sb="5" eb="10">
      <t>シホシャチョウサマ</t>
    </rPh>
    <rPh sb="10" eb="12">
      <t>チョウセイ</t>
    </rPh>
    <phoneticPr fontId="1"/>
  </si>
  <si>
    <t>総合パンフレット修正内容確認</t>
    <rPh sb="0" eb="2">
      <t>ソウゴウ</t>
    </rPh>
    <rPh sb="8" eb="10">
      <t>シュウセイ</t>
    </rPh>
    <rPh sb="10" eb="14">
      <t>ナイヨウカクニン</t>
    </rPh>
    <phoneticPr fontId="1"/>
  </si>
  <si>
    <t>名入れタオル：見積確認</t>
    <rPh sb="0" eb="2">
      <t>ナイ</t>
    </rPh>
    <rPh sb="7" eb="11">
      <t>ミツモリカクニン</t>
    </rPh>
    <phoneticPr fontId="1"/>
  </si>
  <si>
    <t>営業4名宿泊対応</t>
    <rPh sb="0" eb="2">
      <t>エイギョウ</t>
    </rPh>
    <rPh sb="3" eb="4">
      <t>メイ</t>
    </rPh>
    <rPh sb="4" eb="8">
      <t>シュクハクタイオウ</t>
    </rPh>
    <phoneticPr fontId="1"/>
  </si>
  <si>
    <t>　【開発】どっと原価管理請求管理表（不一致対応）</t>
    <phoneticPr fontId="5"/>
  </si>
  <si>
    <t>　【開発】どっと原価管理請求管理表（移行作業再開）</t>
    <rPh sb="12" eb="14">
      <t>セイキュウ</t>
    </rPh>
    <rPh sb="18" eb="20">
      <t>イコウ</t>
    </rPh>
    <rPh sb="20" eb="22">
      <t>サギョウ</t>
    </rPh>
    <rPh sb="22" eb="24">
      <t>サイカイ</t>
    </rPh>
    <phoneticPr fontId="5"/>
  </si>
  <si>
    <t>　【開発】申請システム 不具合対応（確定不可）</t>
    <phoneticPr fontId="5"/>
  </si>
  <si>
    <t>　【開発】申請システム 不具合対応（検索エラー）</t>
    <rPh sb="18" eb="20">
      <t>ケンサク</t>
    </rPh>
    <phoneticPr fontId="5"/>
  </si>
  <si>
    <t>　【開発】経理業務RPA化　2社作成（14/35社完了）</t>
    <phoneticPr fontId="5"/>
  </si>
  <si>
    <t>　【開発】経理業務RPA化　2社作成（16/35社完了）</t>
    <phoneticPr fontId="5"/>
  </si>
  <si>
    <t>　【開発】新入社員準備</t>
    <rPh sb="5" eb="9">
      <t>シンニュウシャイン</t>
    </rPh>
    <rPh sb="9" eb="11">
      <t>ジュンビ</t>
    </rPh>
    <phoneticPr fontId="5"/>
  </si>
  <si>
    <t>　【開発】どっと原価マスタ設定（移行作業）</t>
    <rPh sb="13" eb="15">
      <t>セッテイ</t>
    </rPh>
    <rPh sb="16" eb="18">
      <t>イコウ</t>
    </rPh>
    <rPh sb="18" eb="20">
      <t>サギョウ</t>
    </rPh>
    <phoneticPr fontId="5"/>
  </si>
  <si>
    <t>　【開発】経理業務RPA化　1社作成（11/35社完了）</t>
    <phoneticPr fontId="5"/>
  </si>
  <si>
    <t>　【開発】経理業務RPA化　1社作成（12/35社完了）</t>
    <phoneticPr fontId="5"/>
  </si>
  <si>
    <t>随時</t>
    <phoneticPr fontId="1"/>
  </si>
  <si>
    <t>【新入社員教育】</t>
    <rPh sb="1" eb="5">
      <t>シンニュウシャイン</t>
    </rPh>
    <rPh sb="5" eb="7">
      <t>キョウイク</t>
    </rPh>
    <phoneticPr fontId="1"/>
  </si>
  <si>
    <t>田島</t>
    <rPh sb="0" eb="2">
      <t>タシマ</t>
    </rPh>
    <phoneticPr fontId="1"/>
  </si>
  <si>
    <t>入社説明会</t>
    <rPh sb="0" eb="2">
      <t>ニュウシャ</t>
    </rPh>
    <rPh sb="2" eb="5">
      <t>セツメイカイ</t>
    </rPh>
    <phoneticPr fontId="1"/>
  </si>
  <si>
    <t>メール設定</t>
    <rPh sb="3" eb="5">
      <t>セッテイ</t>
    </rPh>
    <phoneticPr fontId="1"/>
  </si>
  <si>
    <t>サマーセール確認</t>
    <rPh sb="6" eb="8">
      <t>カクニン</t>
    </rPh>
    <phoneticPr fontId="1"/>
  </si>
  <si>
    <t>【Webセミナー】　地震工学の基本　10:00～16:00/前後準備</t>
    <rPh sb="10" eb="12">
      <t>ジシン</t>
    </rPh>
    <rPh sb="12" eb="14">
      <t>コウガク</t>
    </rPh>
    <rPh sb="15" eb="17">
      <t>キホン</t>
    </rPh>
    <phoneticPr fontId="5"/>
  </si>
  <si>
    <t>【Webセミナー】　仮設構造物　10:00～16:00/前後準備</t>
    <rPh sb="10" eb="12">
      <t>カセツ</t>
    </rPh>
    <rPh sb="12" eb="15">
      <t>コウゾウブツ</t>
    </rPh>
    <phoneticPr fontId="5"/>
  </si>
  <si>
    <t>【総研】大嶋さん動的解析セミナー（応接）　10:00-11:30</t>
    <rPh sb="17" eb="19">
      <t>オウセツ</t>
    </rPh>
    <phoneticPr fontId="5"/>
  </si>
  <si>
    <t>【Webセミナー】　基礎工土留め工　10:00～16:00/前後準備</t>
    <rPh sb="10" eb="12">
      <t>キソ</t>
    </rPh>
    <rPh sb="12" eb="13">
      <t>コウ</t>
    </rPh>
    <rPh sb="13" eb="15">
      <t>ドド</t>
    </rPh>
    <rPh sb="16" eb="17">
      <t>コウ</t>
    </rPh>
    <phoneticPr fontId="5"/>
  </si>
  <si>
    <t>【NPO】8月ﾃｷｽﾄ修正（構造計算ﾃｷｽﾄﾀｲﾄﾙ</t>
  </si>
  <si>
    <t>【NPO】8月ﾃｷｽﾄ　PCへインストール</t>
  </si>
  <si>
    <t>【管理】東さんMTG　15時～（○○</t>
    <phoneticPr fontId="5"/>
  </si>
  <si>
    <t>【NPO】長田さん　セミナー申込状況連絡（返信</t>
  </si>
  <si>
    <t>業務説明</t>
    <rPh sb="0" eb="4">
      <t>ギョウムセツメイ</t>
    </rPh>
    <phoneticPr fontId="1"/>
  </si>
  <si>
    <t>【開発】競走馬：出走予定・情報発信</t>
    <phoneticPr fontId="1"/>
  </si>
  <si>
    <t>【管理】IT補助金　経過報告回答　（6月末まで</t>
  </si>
  <si>
    <t>【NPO】セミナー　6月ﾃｷｽﾄ　PC掲載準備</t>
  </si>
  <si>
    <t>【管理】ふるさと・ネット販売二次/ 職安書類</t>
  </si>
  <si>
    <t>【NPO】8月度　CPD証明書作成</t>
  </si>
  <si>
    <t>カレンダー:日付作成</t>
    <rPh sb="6" eb="8">
      <t>ヒヅケ</t>
    </rPh>
    <rPh sb="8" eb="10">
      <t>サクセイ</t>
    </rPh>
    <phoneticPr fontId="1"/>
  </si>
  <si>
    <t>大分大学産学交流振興会総会・交流会</t>
    <rPh sb="0" eb="4">
      <t>オオイタダイガク</t>
    </rPh>
    <rPh sb="4" eb="8">
      <t>サンガクコウリュウ</t>
    </rPh>
    <rPh sb="8" eb="11">
      <t>シンコウカイ</t>
    </rPh>
    <rPh sb="11" eb="13">
      <t>ソウカイ</t>
    </rPh>
    <rPh sb="14" eb="17">
      <t>コウリュウカイ</t>
    </rPh>
    <phoneticPr fontId="1"/>
  </si>
  <si>
    <t xml:space="preserve"> 【定例】朝礼、清掃、髙陽当日予定・遅れ等確認</t>
    <rPh sb="2" eb="4">
      <t>テイレイ</t>
    </rPh>
    <rPh sb="5" eb="7">
      <t>チョウレイ</t>
    </rPh>
    <rPh sb="8" eb="10">
      <t>セイソウ</t>
    </rPh>
    <rPh sb="11" eb="13">
      <t>タカヒ</t>
    </rPh>
    <rPh sb="13" eb="15">
      <t>トウジツ</t>
    </rPh>
    <rPh sb="15" eb="17">
      <t>ヨテイ</t>
    </rPh>
    <rPh sb="18" eb="19">
      <t>オク</t>
    </rPh>
    <rPh sb="20" eb="21">
      <t>トウ</t>
    </rPh>
    <rPh sb="21" eb="23">
      <t>カクニン</t>
    </rPh>
    <phoneticPr fontId="5"/>
  </si>
  <si>
    <t xml:space="preserve"> 【定例】防火管理・サーバー（さいたま）チェック</t>
    <rPh sb="2" eb="4">
      <t>テイレイ</t>
    </rPh>
    <rPh sb="5" eb="7">
      <t>ボウカ</t>
    </rPh>
    <rPh sb="7" eb="9">
      <t>カンリ</t>
    </rPh>
    <phoneticPr fontId="5"/>
  </si>
  <si>
    <t xml:space="preserve"> 【定例】防火管理・サーバー（大阪）チェック</t>
    <rPh sb="2" eb="4">
      <t>テイレイ</t>
    </rPh>
    <rPh sb="5" eb="7">
      <t>ボウカ</t>
    </rPh>
    <rPh sb="7" eb="9">
      <t>カンリ</t>
    </rPh>
    <rPh sb="15" eb="17">
      <t>オオサカ</t>
    </rPh>
    <phoneticPr fontId="5"/>
  </si>
  <si>
    <t xml:space="preserve"> 【定例】防火管理・サーバー（福岡）チェック</t>
    <rPh sb="2" eb="4">
      <t>テイレイ</t>
    </rPh>
    <rPh sb="5" eb="7">
      <t>ボウカ</t>
    </rPh>
    <rPh sb="7" eb="9">
      <t>カンリ</t>
    </rPh>
    <rPh sb="15" eb="17">
      <t>フクオカ</t>
    </rPh>
    <phoneticPr fontId="5"/>
  </si>
  <si>
    <t xml:space="preserve"> 【定例】防火管理・サーバー（大分）チェック</t>
    <rPh sb="2" eb="4">
      <t>テイレイ</t>
    </rPh>
    <rPh sb="5" eb="7">
      <t>ボウカ</t>
    </rPh>
    <rPh sb="7" eb="9">
      <t>カンリ</t>
    </rPh>
    <rPh sb="15" eb="17">
      <t>オオイタ</t>
    </rPh>
    <phoneticPr fontId="5"/>
  </si>
  <si>
    <t xml:space="preserve"> 【定例】防火管理・サーバー（SVR）チェック</t>
    <rPh sb="2" eb="4">
      <t>テイレイ</t>
    </rPh>
    <rPh sb="5" eb="7">
      <t>ボウカ</t>
    </rPh>
    <rPh sb="7" eb="9">
      <t>カンリ</t>
    </rPh>
    <phoneticPr fontId="5"/>
  </si>
  <si>
    <t>新名</t>
  </si>
  <si>
    <t xml:space="preserve"> 【定例】週間スケジュール集計</t>
    <rPh sb="5" eb="7">
      <t>シュウカン</t>
    </rPh>
    <rPh sb="13" eb="15">
      <t>シュウケイ</t>
    </rPh>
    <phoneticPr fontId="5"/>
  </si>
  <si>
    <t xml:space="preserve"> 【定例】業務報告、髙陽進捗状況・配慮活動等確認</t>
    <rPh sb="5" eb="7">
      <t>ギョウム</t>
    </rPh>
    <rPh sb="7" eb="9">
      <t>ホウコク</t>
    </rPh>
    <rPh sb="10" eb="12">
      <t>タカヒ</t>
    </rPh>
    <rPh sb="12" eb="14">
      <t>シンチョク</t>
    </rPh>
    <rPh sb="14" eb="16">
      <t>ジョウキョウ</t>
    </rPh>
    <rPh sb="17" eb="21">
      <t>ハイリョカツドウ</t>
    </rPh>
    <rPh sb="21" eb="22">
      <t>トウ</t>
    </rPh>
    <rPh sb="22" eb="24">
      <t>カクニン</t>
    </rPh>
    <phoneticPr fontId="5"/>
  </si>
  <si>
    <t xml:space="preserve"> 【定例】週間スケジュール作成/受け取り</t>
    <rPh sb="5" eb="7">
      <t>シュウカン</t>
    </rPh>
    <rPh sb="13" eb="15">
      <t>サクセイ</t>
    </rPh>
    <rPh sb="16" eb="17">
      <t>ウ</t>
    </rPh>
    <rPh sb="18" eb="19">
      <t>ト</t>
    </rPh>
    <phoneticPr fontId="5"/>
  </si>
  <si>
    <t xml:space="preserve"> 【開発】どっと原価　画面項目名修正</t>
    <rPh sb="2" eb="4">
      <t>カイハツ</t>
    </rPh>
    <rPh sb="8" eb="10">
      <t>ゲンカ</t>
    </rPh>
    <phoneticPr fontId="5"/>
  </si>
  <si>
    <t xml:space="preserve"> 【開発】どっと原価　画面項目名修正</t>
    <phoneticPr fontId="5"/>
  </si>
  <si>
    <t xml:space="preserve"> 【開発】どっと原価　画面区分設定</t>
  </si>
  <si>
    <t xml:space="preserve"> 【開発】どっと原価 画面入力必須設定</t>
  </si>
  <si>
    <t xml:space="preserve"> 【新入社員教育】</t>
    <phoneticPr fontId="5"/>
  </si>
  <si>
    <t xml:space="preserve"> 【開発】どっと原価　画面修正箇所ﾃﾞｰﾀ作成</t>
  </si>
  <si>
    <t>フォント</t>
    <phoneticPr fontId="5"/>
  </si>
  <si>
    <t>「背景ピンク」セミナー関連</t>
    <rPh sb="1" eb="3">
      <t>ハイケイ</t>
    </rPh>
    <rPh sb="11" eb="13">
      <t>カンレン</t>
    </rPh>
    <phoneticPr fontId="5"/>
  </si>
  <si>
    <t>「背景黄色」入力予定や協調</t>
    <rPh sb="1" eb="3">
      <t>ハイケイ</t>
    </rPh>
    <rPh sb="3" eb="5">
      <t>キイロ</t>
    </rPh>
    <rPh sb="6" eb="8">
      <t>ニュウリョク</t>
    </rPh>
    <rPh sb="8" eb="10">
      <t>ヨテイ</t>
    </rPh>
    <rPh sb="11" eb="13">
      <t>キョウチョウ</t>
    </rPh>
    <phoneticPr fontId="5"/>
  </si>
  <si>
    <t>【Webセミナー】　応用地質学　10:00～16:00/前後準備</t>
    <rPh sb="10" eb="12">
      <t>オウヨウ</t>
    </rPh>
    <rPh sb="12" eb="15">
      <t>チシツガク</t>
    </rPh>
    <phoneticPr fontId="5"/>
  </si>
  <si>
    <t>【Webセミナー】　設計ミス防止　10:00～16:00/前後準備</t>
    <rPh sb="10" eb="12">
      <t>セッケイ</t>
    </rPh>
    <rPh sb="14" eb="16">
      <t>ボウシ</t>
    </rPh>
    <phoneticPr fontId="5"/>
  </si>
  <si>
    <t>【NPO】8/20参加者　資料配信</t>
    <phoneticPr fontId="5"/>
  </si>
  <si>
    <t>【NPO】8/21参加者　資料配信</t>
    <phoneticPr fontId="5"/>
  </si>
  <si>
    <t>【NPO】8/23参加者　資料配信</t>
    <phoneticPr fontId="5"/>
  </si>
  <si>
    <t>【NPO】8/20参加者　入金確認</t>
    <rPh sb="13" eb="15">
      <t>ニュウキン</t>
    </rPh>
    <rPh sb="15" eb="17">
      <t>カクニン</t>
    </rPh>
    <phoneticPr fontId="5"/>
  </si>
  <si>
    <t>【NPO】8/21参加者　入金確認</t>
    <phoneticPr fontId="5"/>
  </si>
  <si>
    <t>【NPO】8/23参加者　入金確認</t>
    <phoneticPr fontId="5"/>
  </si>
  <si>
    <t>【開発】採用動画コンテンツ　作成</t>
    <rPh sb="14" eb="16">
      <t>サクセイ</t>
    </rPh>
    <phoneticPr fontId="5"/>
  </si>
  <si>
    <t>【NPO】8/21参加者　土門様に送付</t>
    <rPh sb="13" eb="16">
      <t>ドモンサマ</t>
    </rPh>
    <rPh sb="17" eb="19">
      <t>ソウフ</t>
    </rPh>
    <phoneticPr fontId="5"/>
  </si>
  <si>
    <t>カレンダー:写真選定</t>
    <rPh sb="6" eb="8">
      <t>シャシン</t>
    </rPh>
    <rPh sb="8" eb="10">
      <t>センテイ</t>
    </rPh>
    <phoneticPr fontId="1"/>
  </si>
  <si>
    <t>有給</t>
    <rPh sb="0" eb="2">
      <t>ユウキュウ</t>
    </rPh>
    <phoneticPr fontId="1"/>
  </si>
  <si>
    <t>半休</t>
    <rPh sb="0" eb="2">
      <t>ハンキュウ</t>
    </rPh>
    <phoneticPr fontId="5"/>
  </si>
  <si>
    <t>【開発】(株)クラウン経理打合せ</t>
    <rPh sb="1" eb="3">
      <t>カイハツ</t>
    </rPh>
    <rPh sb="4" eb="7">
      <t>カブ</t>
    </rPh>
    <rPh sb="11" eb="13">
      <t>ケイリ</t>
    </rPh>
    <rPh sb="13" eb="15">
      <t>ウチアワ</t>
    </rPh>
    <phoneticPr fontId="1"/>
  </si>
  <si>
    <t>全体研修:写真選定</t>
    <rPh sb="0" eb="4">
      <t>ゼンタイケンシュウ</t>
    </rPh>
    <rPh sb="5" eb="7">
      <t>シャシン</t>
    </rPh>
    <rPh sb="7" eb="9">
      <t>センテイ</t>
    </rPh>
    <phoneticPr fontId="1"/>
  </si>
  <si>
    <t xml:space="preserve"> 【定例】業務報告、配慮活動等確認</t>
    <rPh sb="5" eb="7">
      <t>ギョウム</t>
    </rPh>
    <rPh sb="7" eb="9">
      <t>ホウコク</t>
    </rPh>
    <rPh sb="10" eb="14">
      <t>ハイリョカツドウ</t>
    </rPh>
    <rPh sb="14" eb="15">
      <t>トウ</t>
    </rPh>
    <rPh sb="15" eb="17">
      <t>カクニン</t>
    </rPh>
    <phoneticPr fontId="5"/>
  </si>
  <si>
    <t>【開発】(株)クラウン経理資料作成</t>
    <rPh sb="13" eb="15">
      <t>シリョウ</t>
    </rPh>
    <rPh sb="15" eb="17">
      <t>サクセイ</t>
    </rPh>
    <phoneticPr fontId="1"/>
  </si>
  <si>
    <t>【開発】AIデータ収集</t>
    <phoneticPr fontId="1"/>
  </si>
  <si>
    <t>【開発】採用動画コンテンツ　確認</t>
    <rPh sb="14" eb="16">
      <t>カクニン</t>
    </rPh>
    <phoneticPr fontId="1"/>
  </si>
  <si>
    <t>【開発】髙陽RPA　確認</t>
    <rPh sb="4" eb="6">
      <t>タカヒ</t>
    </rPh>
    <rPh sb="10" eb="12">
      <t>カクニン</t>
    </rPh>
    <phoneticPr fontId="1"/>
  </si>
  <si>
    <t>【開発】(株)クラウン経理　調査</t>
    <rPh sb="14" eb="16">
      <t>チョウサ</t>
    </rPh>
    <phoneticPr fontId="1"/>
  </si>
  <si>
    <t>【定例】業務報告・日報・週報作成</t>
    <rPh sb="4" eb="6">
      <t>ギョウム</t>
    </rPh>
    <rPh sb="6" eb="8">
      <t>ホウコク</t>
    </rPh>
    <rPh sb="9" eb="11">
      <t>ニッポウ</t>
    </rPh>
    <rPh sb="12" eb="14">
      <t>シュウホウ</t>
    </rPh>
    <rPh sb="14" eb="16">
      <t>サクセイ</t>
    </rPh>
    <phoneticPr fontId="5"/>
  </si>
  <si>
    <t xml:space="preserve"> 【開発】経理業務RPA化</t>
    <phoneticPr fontId="1"/>
  </si>
  <si>
    <t>夏季休暇</t>
    <rPh sb="0" eb="4">
      <t>カキキュウカ</t>
    </rPh>
    <phoneticPr fontId="5"/>
  </si>
  <si>
    <t xml:space="preserve"> 【管業】防火管理・サーバー（全）チェック</t>
    <rPh sb="5" eb="7">
      <t>ボウカ</t>
    </rPh>
    <rPh sb="7" eb="9">
      <t>カンリ</t>
    </rPh>
    <rPh sb="15" eb="16">
      <t>ゼン</t>
    </rPh>
    <phoneticPr fontId="5"/>
  </si>
  <si>
    <t>過去ﾃﾞｰﾀ作成:納品日移動</t>
    <phoneticPr fontId="5"/>
  </si>
  <si>
    <t>動作検証出力確認</t>
    <phoneticPr fontId="5"/>
  </si>
  <si>
    <t>【開発】競走馬：出走予定・情報発信</t>
    <phoneticPr fontId="5"/>
  </si>
  <si>
    <t>【NPO】申込対応/顧客対応/領収書作成（大臣入力</t>
    <phoneticPr fontId="5"/>
  </si>
  <si>
    <t>※来週受講申し込み者へ　資料等送付</t>
    <rPh sb="1" eb="3">
      <t>ライシュウ</t>
    </rPh>
    <rPh sb="3" eb="5">
      <t>ジュコウ</t>
    </rPh>
    <rPh sb="5" eb="6">
      <t>モウ</t>
    </rPh>
    <rPh sb="7" eb="8">
      <t>コ</t>
    </rPh>
    <rPh sb="9" eb="10">
      <t>シャ</t>
    </rPh>
    <rPh sb="12" eb="14">
      <t>シリョウ</t>
    </rPh>
    <rPh sb="14" eb="15">
      <t>トウ</t>
    </rPh>
    <rPh sb="15" eb="17">
      <t>ソウフ</t>
    </rPh>
    <phoneticPr fontId="5"/>
  </si>
  <si>
    <t>【NPO】Webセミナー　申込情報更新　</t>
  </si>
  <si>
    <t>半休取得予定</t>
    <rPh sb="0" eb="2">
      <t>ハンキュウ</t>
    </rPh>
    <rPh sb="1" eb="2">
      <t>キュウ</t>
    </rPh>
    <rPh sb="2" eb="4">
      <t>シュトク</t>
    </rPh>
    <rPh sb="4" eb="6">
      <t>ヨテイ</t>
    </rPh>
    <phoneticPr fontId="5"/>
  </si>
  <si>
    <t>【Webセミナー】　動的解析　10:00～16:00/前後準備</t>
    <rPh sb="10" eb="12">
      <t>ドウテキ</t>
    </rPh>
    <rPh sb="12" eb="14">
      <t>カイセキ</t>
    </rPh>
    <phoneticPr fontId="5"/>
  </si>
  <si>
    <t>【Webセミナー】　とんねる学　10:00～16:00/前後準備</t>
    <rPh sb="14" eb="15">
      <t>ガク</t>
    </rPh>
    <phoneticPr fontId="5"/>
  </si>
  <si>
    <t>【NPO】来年度に向けた　反省点整理・解決策考案</t>
  </si>
  <si>
    <t>【NPO】8/27参加者　資料配信</t>
    <phoneticPr fontId="5"/>
  </si>
  <si>
    <t>【NPO】8/28参加者　資料配信</t>
    <phoneticPr fontId="5"/>
  </si>
  <si>
    <t>【NPO】8/27参加者　入金確認</t>
    <phoneticPr fontId="5"/>
  </si>
  <si>
    <t>【NPO】8/28参加者　入金確認</t>
    <phoneticPr fontId="5"/>
  </si>
  <si>
    <t>【総研】社内セミナー　テキスト整理(参加者に案内?)</t>
    <rPh sb="1" eb="3">
      <t>ソウケン</t>
    </rPh>
    <rPh sb="4" eb="6">
      <t>シャナイ</t>
    </rPh>
    <rPh sb="15" eb="17">
      <t>セイリ</t>
    </rPh>
    <rPh sb="18" eb="21">
      <t>サンカシャ</t>
    </rPh>
    <rPh sb="22" eb="24">
      <t>アンナイ</t>
    </rPh>
    <phoneticPr fontId="5"/>
  </si>
  <si>
    <t>【開発】RPA開発　計画</t>
    <rPh sb="7" eb="9">
      <t>カイハツ</t>
    </rPh>
    <rPh sb="10" eb="12">
      <t>ケイカク</t>
    </rPh>
    <phoneticPr fontId="5"/>
  </si>
  <si>
    <t>【NPO】14:30～　土門様　21日のリハーサル</t>
    <rPh sb="12" eb="15">
      <t>ドモンサマ</t>
    </rPh>
    <rPh sb="18" eb="19">
      <t>ニチ</t>
    </rPh>
    <phoneticPr fontId="5"/>
  </si>
  <si>
    <t>【開発】採用動画コンテンツ　動画作成</t>
    <rPh sb="14" eb="16">
      <t>ドウガ</t>
    </rPh>
    <rPh sb="16" eb="18">
      <t>サクセイ</t>
    </rPh>
    <phoneticPr fontId="5"/>
  </si>
  <si>
    <t>【管理】東さんMTG　15時～（勤務日数と休日の頁</t>
    <rPh sb="16" eb="18">
      <t>キンム</t>
    </rPh>
    <rPh sb="18" eb="20">
      <t>ニッスウ</t>
    </rPh>
    <rPh sb="21" eb="23">
      <t>キュウジツ</t>
    </rPh>
    <rPh sb="24" eb="25">
      <t>ページ</t>
    </rPh>
    <phoneticPr fontId="5"/>
  </si>
  <si>
    <t xml:space="preserve"> 【管業】防火管理・サーバー（さいたま）チェック</t>
    <rPh sb="5" eb="7">
      <t>ボウカ</t>
    </rPh>
    <rPh sb="7" eb="9">
      <t>カンリ</t>
    </rPh>
    <phoneticPr fontId="5"/>
  </si>
  <si>
    <t xml:space="preserve"> 【管業】防火管理・サーバー（大阪）チェック</t>
    <rPh sb="5" eb="7">
      <t>ボウカ</t>
    </rPh>
    <rPh sb="7" eb="9">
      <t>カンリ</t>
    </rPh>
    <rPh sb="15" eb="17">
      <t>オオサカ</t>
    </rPh>
    <phoneticPr fontId="5"/>
  </si>
  <si>
    <t xml:space="preserve"> 【管業】防火管理・サーバー（福岡）チェック</t>
    <rPh sb="5" eb="7">
      <t>ボウカ</t>
    </rPh>
    <rPh sb="7" eb="9">
      <t>カンリ</t>
    </rPh>
    <rPh sb="15" eb="17">
      <t>フクオカ</t>
    </rPh>
    <phoneticPr fontId="5"/>
  </si>
  <si>
    <t xml:space="preserve"> 【管業】防火管理・サーバー（大分）チェック</t>
    <rPh sb="5" eb="7">
      <t>ボウカ</t>
    </rPh>
    <rPh sb="7" eb="9">
      <t>カンリ</t>
    </rPh>
    <rPh sb="15" eb="17">
      <t>オオイタ</t>
    </rPh>
    <phoneticPr fontId="5"/>
  </si>
  <si>
    <t xml:space="preserve"> 【管業】防火管理・サーバー（SVR）チェック</t>
    <rPh sb="5" eb="7">
      <t>ボウカ</t>
    </rPh>
    <rPh sb="7" eb="9">
      <t>カンリ</t>
    </rPh>
    <phoneticPr fontId="5"/>
  </si>
  <si>
    <t xml:space="preserve"> 【開発】どっと原価 過去ﾃﾞｰﾀ作成:ﾃﾞｰﾀ収集</t>
    <phoneticPr fontId="5"/>
  </si>
  <si>
    <t xml:space="preserve"> 【開発】どっと原価 過去ﾃﾞｰﾀ作成:受注日移動</t>
    <phoneticPr fontId="5"/>
  </si>
  <si>
    <t xml:space="preserve"> 【開発】どっと原価 過去ﾃﾞｰﾀ作成:金額空白対応</t>
    <phoneticPr fontId="5"/>
  </si>
  <si>
    <t xml:space="preserve"> 【開発】どっと原価 過去ﾃﾞｰﾀ取込</t>
    <phoneticPr fontId="5"/>
  </si>
  <si>
    <t xml:space="preserve"> 【開発】どっと原価 動作検証現行帳票比較</t>
    <phoneticPr fontId="5"/>
  </si>
  <si>
    <t xml:space="preserve"> 【管業】週間スケジュール集計</t>
    <rPh sb="5" eb="7">
      <t>シュウカン</t>
    </rPh>
    <rPh sb="13" eb="15">
      <t>シュウケイ</t>
    </rPh>
    <phoneticPr fontId="5"/>
  </si>
  <si>
    <t xml:space="preserve"> 【開発】どっと原価 過去ﾃﾞｰﾀ作成:請求予定移動</t>
    <phoneticPr fontId="5"/>
  </si>
  <si>
    <t xml:space="preserve"> 【開発】どっと原価 過去ﾃﾞｰﾀ作成:日付移動</t>
    <rPh sb="20" eb="22">
      <t>ヒヅケ</t>
    </rPh>
    <phoneticPr fontId="5"/>
  </si>
  <si>
    <t xml:space="preserve"> 【開発】どっと原価 過去ﾃﾞｰﾀ作成取込み</t>
    <rPh sb="19" eb="21">
      <t>トリコ</t>
    </rPh>
    <phoneticPr fontId="5"/>
  </si>
  <si>
    <t xml:space="preserve"> 【開発】どっと原価 動作検証出力確認</t>
    <phoneticPr fontId="5"/>
  </si>
  <si>
    <t>　【開発】経理API連携 調査・資料作成</t>
    <rPh sb="2" eb="4">
      <t>カイハツ</t>
    </rPh>
    <rPh sb="5" eb="7">
      <t>ケイリ</t>
    </rPh>
    <rPh sb="10" eb="12">
      <t>レンケイ</t>
    </rPh>
    <rPh sb="13" eb="15">
      <t>チョウサ</t>
    </rPh>
    <rPh sb="16" eb="18">
      <t>シリョウ</t>
    </rPh>
    <rPh sb="18" eb="20">
      <t>サクセイ</t>
    </rPh>
    <phoneticPr fontId="5"/>
  </si>
  <si>
    <t xml:space="preserve"> 【管業】週間スケジュール作成/受け取り</t>
    <rPh sb="5" eb="7">
      <t>シュウカン</t>
    </rPh>
    <rPh sb="13" eb="15">
      <t>サクセイ</t>
    </rPh>
    <rPh sb="16" eb="17">
      <t>ウ</t>
    </rPh>
    <rPh sb="18" eb="19">
      <t>ト</t>
    </rPh>
    <phoneticPr fontId="5"/>
  </si>
  <si>
    <t>共同研究：データ照査</t>
    <rPh sb="0" eb="4">
      <t>キョウドウケンキュウ</t>
    </rPh>
    <rPh sb="8" eb="10">
      <t>ショウサ</t>
    </rPh>
    <phoneticPr fontId="1"/>
  </si>
  <si>
    <t>お盆明け各種確認・連絡</t>
    <rPh sb="1" eb="3">
      <t>ボンア</t>
    </rPh>
    <rPh sb="4" eb="6">
      <t>カクシュ</t>
    </rPh>
    <rPh sb="6" eb="8">
      <t>カクニン</t>
    </rPh>
    <rPh sb="9" eb="11">
      <t>レンラク</t>
    </rPh>
    <phoneticPr fontId="1"/>
  </si>
  <si>
    <t>【開発】採用動画コンテンツ　確認</t>
    <phoneticPr fontId="1"/>
  </si>
  <si>
    <t>全体研修:写真選定：確認</t>
    <rPh sb="0" eb="4">
      <t>ゼンタイケンシュウ</t>
    </rPh>
    <rPh sb="5" eb="7">
      <t>シャシン</t>
    </rPh>
    <rPh sb="7" eb="9">
      <t>センテイ</t>
    </rPh>
    <rPh sb="10" eb="12">
      <t>カクニン</t>
    </rPh>
    <phoneticPr fontId="1"/>
  </si>
  <si>
    <t>共同研究：データ照査</t>
    <rPh sb="0" eb="2">
      <t>キョウドウ</t>
    </rPh>
    <rPh sb="2" eb="4">
      <t>ケンキュウ</t>
    </rPh>
    <rPh sb="8" eb="10">
      <t>ショウサ</t>
    </rPh>
    <phoneticPr fontId="1"/>
  </si>
  <si>
    <t>共同研究：データベース登録</t>
    <rPh sb="0" eb="4">
      <t>キョウドウケンキュウ</t>
    </rPh>
    <rPh sb="11" eb="13">
      <t>トウロク</t>
    </rPh>
    <phoneticPr fontId="1"/>
  </si>
  <si>
    <t>共同研究：データベース動作検証</t>
    <rPh sb="0" eb="4">
      <t>キョウドウケンキュウ</t>
    </rPh>
    <rPh sb="11" eb="15">
      <t>ドウサケンショウ</t>
    </rPh>
    <phoneticPr fontId="1"/>
  </si>
  <si>
    <t>全体研修:写真選定</t>
    <phoneticPr fontId="1"/>
  </si>
  <si>
    <t>全体研修:レイアウト準備</t>
    <rPh sb="10" eb="12">
      <t>ジュンビ</t>
    </rPh>
    <phoneticPr fontId="1"/>
  </si>
  <si>
    <t>WEBセミナー受講</t>
    <rPh sb="7" eb="9">
      <t>ジュコウ</t>
    </rPh>
    <phoneticPr fontId="1"/>
  </si>
  <si>
    <t>全体研修:レイアウト打合せ</t>
    <rPh sb="10" eb="12">
      <t>ウチアワ</t>
    </rPh>
    <phoneticPr fontId="1"/>
  </si>
  <si>
    <t>【開発】経理API連携 調査・打合せ</t>
    <rPh sb="1" eb="3">
      <t>カイハツ</t>
    </rPh>
    <rPh sb="4" eb="6">
      <t>ケイリ</t>
    </rPh>
    <rPh sb="9" eb="11">
      <t>レンケイ</t>
    </rPh>
    <rPh sb="12" eb="14">
      <t>チョウサ</t>
    </rPh>
    <rPh sb="15" eb="17">
      <t>ウチアワ</t>
    </rPh>
    <phoneticPr fontId="5"/>
  </si>
  <si>
    <t>【開発】採用動画コンテンツ確認</t>
    <rPh sb="13" eb="15">
      <t>カクニン</t>
    </rPh>
    <phoneticPr fontId="1"/>
  </si>
  <si>
    <t>全体研修:レイアウト：打合せ</t>
    <rPh sb="11" eb="13">
      <t>ウチアワ</t>
    </rPh>
    <phoneticPr fontId="1"/>
  </si>
  <si>
    <t>カレンダー:納品データ準備</t>
    <rPh sb="6" eb="8">
      <t>ノウヒン</t>
    </rPh>
    <rPh sb="11" eb="13">
      <t>ジュンビ</t>
    </rPh>
    <phoneticPr fontId="1"/>
  </si>
  <si>
    <t xml:space="preserve"> 【管業】稟議対応　SSD換装対応</t>
    <rPh sb="13" eb="15">
      <t>カンソウ</t>
    </rPh>
    <rPh sb="15" eb="17">
      <t>タイオウ</t>
    </rPh>
    <phoneticPr fontId="5"/>
  </si>
  <si>
    <t xml:space="preserve"> 【開発】どっと原価 過去ﾃﾞｰﾀ作成取込み</t>
    <phoneticPr fontId="5"/>
  </si>
  <si>
    <t xml:space="preserve"> 【開発】経理API連携 調査・資料作成</t>
    <rPh sb="2" eb="4">
      <t>カイハツ</t>
    </rPh>
    <rPh sb="5" eb="7">
      <t>ケイリ</t>
    </rPh>
    <rPh sb="10" eb="12">
      <t>レンケイ</t>
    </rPh>
    <rPh sb="13" eb="15">
      <t>チョウサ</t>
    </rPh>
    <rPh sb="16" eb="18">
      <t>シリョウ</t>
    </rPh>
    <rPh sb="18" eb="20">
      <t>サクセイ</t>
    </rPh>
    <phoneticPr fontId="5"/>
  </si>
  <si>
    <t xml:space="preserve"> 【開発】経理業務RPA化　1社作成（12/35社完了）</t>
  </si>
  <si>
    <t xml:space="preserve"> 【開発】経理業務RPA化　1社作成（13/35社完了）</t>
  </si>
  <si>
    <t>【NPO】申込対応/顧客対応/請求書・領収書作成</t>
    <phoneticPr fontId="5"/>
  </si>
  <si>
    <t>【Webセミナー】　地盤工学後編　10:00～16:00/前後準備</t>
    <rPh sb="10" eb="12">
      <t>ジバン</t>
    </rPh>
    <rPh sb="12" eb="14">
      <t>コウガク</t>
    </rPh>
    <rPh sb="14" eb="16">
      <t>コウヘン</t>
    </rPh>
    <phoneticPr fontId="5"/>
  </si>
  <si>
    <t>【Webセミナー】　構造計算　10:00～16:00/前後準備</t>
    <rPh sb="10" eb="12">
      <t>コウゾウ</t>
    </rPh>
    <rPh sb="12" eb="14">
      <t>ケイサン</t>
    </rPh>
    <phoneticPr fontId="5"/>
  </si>
  <si>
    <t>【総研】社内セミナー　各位案内・ﾃｷｽﾄ格納場所</t>
    <rPh sb="1" eb="3">
      <t>ソウケン</t>
    </rPh>
    <rPh sb="4" eb="6">
      <t>シャナイ</t>
    </rPh>
    <rPh sb="11" eb="13">
      <t>カクイ</t>
    </rPh>
    <rPh sb="13" eb="15">
      <t>アンナイ</t>
    </rPh>
    <rPh sb="20" eb="22">
      <t>カクノウ</t>
    </rPh>
    <rPh sb="22" eb="24">
      <t>バショ</t>
    </rPh>
    <phoneticPr fontId="5"/>
  </si>
  <si>
    <t>４F　バッテリー交換　12:00～12:30</t>
  </si>
  <si>
    <t>【NPO】Webセミナー　申込情報更新　（2024年度最後）</t>
    <rPh sb="25" eb="26">
      <t>ネン</t>
    </rPh>
    <rPh sb="26" eb="27">
      <t>ド</t>
    </rPh>
    <rPh sb="27" eb="29">
      <t>サイゴ</t>
    </rPh>
    <phoneticPr fontId="5"/>
  </si>
  <si>
    <t>来週週次予定の入力・更新　再来週（Outlook確認</t>
    <phoneticPr fontId="5"/>
  </si>
  <si>
    <t>【NPO】顧客対応/領収書作成（大臣入力</t>
    <phoneticPr fontId="5"/>
  </si>
  <si>
    <t>【NPO】アンケート集計/CPD発行</t>
    <phoneticPr fontId="5"/>
  </si>
  <si>
    <t>【NPO】セミナー受講者一覧送付（金曜日</t>
    <phoneticPr fontId="5"/>
  </si>
  <si>
    <t>【NPO】CPD送付までの管理Excel　確認</t>
    <phoneticPr fontId="5"/>
  </si>
  <si>
    <t>カレンダー：レイアウト調整</t>
    <rPh sb="11" eb="13">
      <t>チョウセイ</t>
    </rPh>
    <phoneticPr fontId="5"/>
  </si>
  <si>
    <t>共同研究：進捗打合せ</t>
    <rPh sb="0" eb="2">
      <t>キョウドウ</t>
    </rPh>
    <rPh sb="2" eb="4">
      <t>ケンキュウ</t>
    </rPh>
    <rPh sb="5" eb="7">
      <t>シンチョク</t>
    </rPh>
    <rPh sb="7" eb="9">
      <t>ウチアワ</t>
    </rPh>
    <phoneticPr fontId="1"/>
  </si>
  <si>
    <t xml:space="preserve"> 【新入社員教育】PC準備</t>
    <rPh sb="11" eb="13">
      <t>ジュンビ</t>
    </rPh>
    <phoneticPr fontId="5"/>
  </si>
  <si>
    <t>共同研究：データ照査（設計水深）</t>
    <rPh sb="11" eb="13">
      <t>セッケイ</t>
    </rPh>
    <rPh sb="13" eb="15">
      <t>スイシン</t>
    </rPh>
    <phoneticPr fontId="5"/>
  </si>
  <si>
    <t>共同研究：データ照査（設計水深）</t>
    <rPh sb="0" eb="2">
      <t>キョウドウ</t>
    </rPh>
    <rPh sb="2" eb="4">
      <t>ケンキュウ</t>
    </rPh>
    <rPh sb="8" eb="10">
      <t>ショウサ</t>
    </rPh>
    <phoneticPr fontId="1"/>
  </si>
  <si>
    <t>共同研究：データ照査（複数スパン）</t>
    <rPh sb="0" eb="2">
      <t>キョウドウ</t>
    </rPh>
    <rPh sb="2" eb="4">
      <t>ケンキュウ</t>
    </rPh>
    <rPh sb="8" eb="10">
      <t>ショウサ</t>
    </rPh>
    <rPh sb="11" eb="13">
      <t>フクスウ</t>
    </rPh>
    <phoneticPr fontId="1"/>
  </si>
  <si>
    <t>共同研究：データ照査（複数スパン）</t>
    <phoneticPr fontId="1"/>
  </si>
  <si>
    <t>共同研究：データ照査（上載荷重）</t>
    <rPh sb="0" eb="2">
      <t>キョウドウ</t>
    </rPh>
    <rPh sb="2" eb="4">
      <t>ケンキュウ</t>
    </rPh>
    <rPh sb="8" eb="10">
      <t>ショウサ</t>
    </rPh>
    <rPh sb="11" eb="12">
      <t>ジョウ</t>
    </rPh>
    <rPh sb="12" eb="13">
      <t>サイ</t>
    </rPh>
    <rPh sb="13" eb="15">
      <t>カジュウ</t>
    </rPh>
    <phoneticPr fontId="1"/>
  </si>
  <si>
    <t>全体研修:装丁調査</t>
    <rPh sb="5" eb="7">
      <t>ソウテイ</t>
    </rPh>
    <rPh sb="7" eb="9">
      <t>チョウサ</t>
    </rPh>
    <phoneticPr fontId="1"/>
  </si>
  <si>
    <t>全体研修:装丁調査</t>
    <phoneticPr fontId="1"/>
  </si>
  <si>
    <t>全体研修:装丁確認</t>
    <rPh sb="5" eb="7">
      <t>ソウテイ</t>
    </rPh>
    <rPh sb="7" eb="9">
      <t>カクニン</t>
    </rPh>
    <phoneticPr fontId="1"/>
  </si>
  <si>
    <t>全体研修:レイアウト確認</t>
    <rPh sb="0" eb="2">
      <t>ゼンタイ</t>
    </rPh>
    <rPh sb="2" eb="4">
      <t>ケンシュウ</t>
    </rPh>
    <rPh sb="10" eb="12">
      <t>カクニン</t>
    </rPh>
    <phoneticPr fontId="1"/>
  </si>
  <si>
    <t>カレンダー：納品データ作成</t>
    <rPh sb="6" eb="8">
      <t>ノウヒン</t>
    </rPh>
    <rPh sb="11" eb="13">
      <t>サクセイ</t>
    </rPh>
    <phoneticPr fontId="5"/>
  </si>
  <si>
    <t>カレンダー:納品データ確認</t>
    <rPh sb="6" eb="8">
      <t>ノウヒン</t>
    </rPh>
    <rPh sb="11" eb="13">
      <t>カクニン</t>
    </rPh>
    <phoneticPr fontId="1"/>
  </si>
  <si>
    <t>カレンダー:納品準備</t>
    <rPh sb="6" eb="8">
      <t>ノウヒン</t>
    </rPh>
    <rPh sb="8" eb="10">
      <t>ジュンビ</t>
    </rPh>
    <phoneticPr fontId="1"/>
  </si>
  <si>
    <t>本社　バッテリー交換　12:00～12:30</t>
    <rPh sb="0" eb="2">
      <t>ホンシャ</t>
    </rPh>
    <phoneticPr fontId="5"/>
  </si>
  <si>
    <t>新入社員：準備</t>
    <rPh sb="0" eb="4">
      <t>シンニュウシャイン</t>
    </rPh>
    <rPh sb="5" eb="7">
      <t>ジュンビ</t>
    </rPh>
    <phoneticPr fontId="5"/>
  </si>
  <si>
    <t xml:space="preserve"> 【保守】バックアップサーバー修理依頼/対応</t>
    <rPh sb="2" eb="4">
      <t>ホシュ</t>
    </rPh>
    <rPh sb="15" eb="17">
      <t>シュウリ</t>
    </rPh>
    <rPh sb="17" eb="19">
      <t>イライ</t>
    </rPh>
    <rPh sb="20" eb="22">
      <t>タイオウ</t>
    </rPh>
    <phoneticPr fontId="5"/>
  </si>
  <si>
    <t xml:space="preserve"> 【会議】管理役養成セミナー</t>
    <rPh sb="2" eb="4">
      <t>カイギ</t>
    </rPh>
    <rPh sb="5" eb="7">
      <t>カンリ</t>
    </rPh>
    <rPh sb="7" eb="8">
      <t>ヤク</t>
    </rPh>
    <rPh sb="8" eb="10">
      <t>ヨウセイ</t>
    </rPh>
    <phoneticPr fontId="5"/>
  </si>
  <si>
    <t xml:space="preserve"> 【開発】どっと原価 今後の展開確認</t>
    <rPh sb="11" eb="13">
      <t>コンゴ</t>
    </rPh>
    <rPh sb="14" eb="16">
      <t>テンカイ</t>
    </rPh>
    <rPh sb="16" eb="18">
      <t>カクニン</t>
    </rPh>
    <phoneticPr fontId="5"/>
  </si>
  <si>
    <t xml:space="preserve"> 【開発】SSD端末設定</t>
    <rPh sb="8" eb="10">
      <t>タンマツ</t>
    </rPh>
    <rPh sb="10" eb="12">
      <t>セッテイ</t>
    </rPh>
    <phoneticPr fontId="5"/>
  </si>
  <si>
    <t xml:space="preserve"> 【開発】どっと原価 最終チェック</t>
    <rPh sb="11" eb="13">
      <t>サイシュウ</t>
    </rPh>
    <phoneticPr fontId="5"/>
  </si>
  <si>
    <t>【開発】RPA作成/業務効率化作業　事前準備</t>
  </si>
  <si>
    <t>【開発】RPA作成/業務効率化作業　事前準備</t>
    <rPh sb="18" eb="20">
      <t>ジゼン</t>
    </rPh>
    <rPh sb="20" eb="22">
      <t>ジュンビ</t>
    </rPh>
    <phoneticPr fontId="5"/>
  </si>
  <si>
    <t>【開発】採用動画コンテンツ　動画作成</t>
  </si>
  <si>
    <t>【NPO】講師陣　bccで2024年度セミナー御礼メール</t>
    <rPh sb="5" eb="8">
      <t>コウシジン</t>
    </rPh>
    <rPh sb="17" eb="18">
      <t>ネン</t>
    </rPh>
    <rPh sb="18" eb="19">
      <t>ド</t>
    </rPh>
    <rPh sb="23" eb="25">
      <t>オンレイ</t>
    </rPh>
    <phoneticPr fontId="5"/>
  </si>
  <si>
    <t>1日有休</t>
    <rPh sb="1" eb="2">
      <t>ニチ</t>
    </rPh>
    <rPh sb="2" eb="4">
      <t>ユウキュウ</t>
    </rPh>
    <phoneticPr fontId="5"/>
  </si>
  <si>
    <t>【NPO】顧客対応/領収書作成（大臣入力</t>
  </si>
  <si>
    <t>　　※5,6日中の必要な業務伝達事項の対応</t>
    <rPh sb="6" eb="7">
      <t>ニチ</t>
    </rPh>
    <rPh sb="7" eb="8">
      <t>チュウ</t>
    </rPh>
    <rPh sb="9" eb="11">
      <t>ヒツヨウ</t>
    </rPh>
    <rPh sb="12" eb="14">
      <t>ギョウム</t>
    </rPh>
    <rPh sb="14" eb="16">
      <t>デンタツ</t>
    </rPh>
    <rPh sb="16" eb="18">
      <t>ジコウ</t>
    </rPh>
    <rPh sb="19" eb="21">
      <t>タイオウ</t>
    </rPh>
    <phoneticPr fontId="5"/>
  </si>
  <si>
    <t>【NPO】2024年度セミナー　全体まとめ集計②</t>
    <phoneticPr fontId="5"/>
  </si>
  <si>
    <t>【定例】朝礼、清掃、防火、当日予定確認</t>
    <rPh sb="1" eb="3">
      <t>テイレイ</t>
    </rPh>
    <rPh sb="4" eb="6">
      <t>チョウレイ</t>
    </rPh>
    <rPh sb="7" eb="9">
      <t>セイソウ</t>
    </rPh>
    <rPh sb="10" eb="12">
      <t>ボウカ</t>
    </rPh>
    <rPh sb="13" eb="15">
      <t>トウジツ</t>
    </rPh>
    <rPh sb="15" eb="17">
      <t>ヨテイ</t>
    </rPh>
    <rPh sb="17" eb="19">
      <t>カクニン</t>
    </rPh>
    <phoneticPr fontId="5"/>
  </si>
  <si>
    <t>共同研究：データ照査（鉄筋径）</t>
    <rPh sb="11" eb="14">
      <t>テッキンケイ</t>
    </rPh>
    <phoneticPr fontId="5"/>
  </si>
  <si>
    <t>共同研究：データ照査（鉄筋径）</t>
    <rPh sb="0" eb="2">
      <t>キョウドウ</t>
    </rPh>
    <rPh sb="2" eb="4">
      <t>ケンキュウ</t>
    </rPh>
    <rPh sb="8" eb="10">
      <t>ショウサ</t>
    </rPh>
    <rPh sb="11" eb="13">
      <t>テッキン</t>
    </rPh>
    <rPh sb="13" eb="14">
      <t>ケイ</t>
    </rPh>
    <phoneticPr fontId="1"/>
  </si>
  <si>
    <t>新入社員レクチャ</t>
    <rPh sb="0" eb="4">
      <t>シンニュウシャイン</t>
    </rPh>
    <phoneticPr fontId="5"/>
  </si>
  <si>
    <t>共同研究：データ確認</t>
    <rPh sb="0" eb="2">
      <t>キョウドウ</t>
    </rPh>
    <rPh sb="2" eb="4">
      <t>ケンキュウ</t>
    </rPh>
    <rPh sb="8" eb="10">
      <t>カクニン</t>
    </rPh>
    <phoneticPr fontId="1"/>
  </si>
  <si>
    <t>【開発】採用動画コンテンツ　状況確認</t>
    <rPh sb="14" eb="18">
      <t>ジョウキョウカクニン</t>
    </rPh>
    <phoneticPr fontId="1"/>
  </si>
  <si>
    <t>共同研究：DB取込</t>
    <rPh sb="0" eb="2">
      <t>キョウドウ</t>
    </rPh>
    <rPh sb="2" eb="4">
      <t>ケンキュウ</t>
    </rPh>
    <rPh sb="7" eb="9">
      <t>トリコミ</t>
    </rPh>
    <phoneticPr fontId="1"/>
  </si>
  <si>
    <t>統括会議</t>
    <rPh sb="0" eb="4">
      <t>トウカツカイギ</t>
    </rPh>
    <phoneticPr fontId="1"/>
  </si>
  <si>
    <t>大分大学：コンテスト準備</t>
    <rPh sb="0" eb="4">
      <t>オオイタダイガク</t>
    </rPh>
    <rPh sb="10" eb="12">
      <t>ジュンビ</t>
    </rPh>
    <phoneticPr fontId="1"/>
  </si>
  <si>
    <t>全体研修:レイアウト作成</t>
    <rPh sb="10" eb="12">
      <t>サクセイ</t>
    </rPh>
    <phoneticPr fontId="1"/>
  </si>
  <si>
    <t>共同研究：DB確認</t>
    <rPh sb="0" eb="2">
      <t>キョウドウ</t>
    </rPh>
    <rPh sb="2" eb="4">
      <t>ケンキュウ</t>
    </rPh>
    <rPh sb="7" eb="9">
      <t>カクニン</t>
    </rPh>
    <phoneticPr fontId="1"/>
  </si>
  <si>
    <t xml:space="preserve"> 【開発】SSD端末設定</t>
    <phoneticPr fontId="1"/>
  </si>
  <si>
    <t xml:space="preserve"> 【開発】どっと原価 運用確認</t>
    <rPh sb="11" eb="13">
      <t>ウンヨウ</t>
    </rPh>
    <rPh sb="13" eb="15">
      <t>カクニン</t>
    </rPh>
    <phoneticPr fontId="5"/>
  </si>
  <si>
    <t xml:space="preserve"> 【稟議】どっと原価 更新稟議作成</t>
    <rPh sb="2" eb="4">
      <t>リンギ</t>
    </rPh>
    <rPh sb="11" eb="15">
      <t>コウシンリンギ</t>
    </rPh>
    <rPh sb="15" eb="17">
      <t>サクセイ</t>
    </rPh>
    <phoneticPr fontId="5"/>
  </si>
  <si>
    <t xml:space="preserve"> 【開発】経理API連携 スケジュール作成</t>
    <rPh sb="2" eb="4">
      <t>カイハツ</t>
    </rPh>
    <rPh sb="5" eb="7">
      <t>ケイリ</t>
    </rPh>
    <rPh sb="10" eb="12">
      <t>レンケイ</t>
    </rPh>
    <rPh sb="19" eb="21">
      <t>サクセイ</t>
    </rPh>
    <phoneticPr fontId="5"/>
  </si>
  <si>
    <t xml:space="preserve"> 【開発】経理API連携　環境整備</t>
    <phoneticPr fontId="5"/>
  </si>
  <si>
    <t xml:space="preserve"> 【開発】経理API連携　作成</t>
    <rPh sb="2" eb="4">
      <t>カイハツ</t>
    </rPh>
    <rPh sb="5" eb="7">
      <t>ケイリ</t>
    </rPh>
    <rPh sb="10" eb="12">
      <t>レンケイ</t>
    </rPh>
    <rPh sb="13" eb="15">
      <t>サクセイ</t>
    </rPh>
    <phoneticPr fontId="5"/>
  </si>
  <si>
    <t xml:space="preserve"> 【開発】SSD端末設定　2台</t>
    <rPh sb="8" eb="10">
      <t>タンマツ</t>
    </rPh>
    <rPh sb="10" eb="12">
      <t>セッテイ</t>
    </rPh>
    <rPh sb="14" eb="15">
      <t>ダイ</t>
    </rPh>
    <phoneticPr fontId="5"/>
  </si>
  <si>
    <t xml:space="preserve"> 【開発】SSD端末設定　3台</t>
    <rPh sb="8" eb="10">
      <t>タンマツ</t>
    </rPh>
    <rPh sb="10" eb="12">
      <t>セッテイ</t>
    </rPh>
    <phoneticPr fontId="5"/>
  </si>
  <si>
    <t xml:space="preserve"> 【開発】SSD端末設定　3台（セミナー端末）</t>
    <rPh sb="2" eb="4">
      <t>カイハツ</t>
    </rPh>
    <rPh sb="8" eb="10">
      <t>タンマツ</t>
    </rPh>
    <rPh sb="10" eb="12">
      <t>セッテイ</t>
    </rPh>
    <rPh sb="14" eb="15">
      <t>ダイ</t>
    </rPh>
    <rPh sb="20" eb="22">
      <t>タンマツ</t>
    </rPh>
    <phoneticPr fontId="5"/>
  </si>
  <si>
    <t xml:space="preserve"> 【開発】経理API連携　環境整備</t>
    <rPh sb="13" eb="15">
      <t>カンキョウ</t>
    </rPh>
    <rPh sb="15" eb="17">
      <t>セイビ</t>
    </rPh>
    <phoneticPr fontId="5"/>
  </si>
  <si>
    <t xml:space="preserve"> 【教育】</t>
    <phoneticPr fontId="5"/>
  </si>
  <si>
    <t xml:space="preserve"> 【教育】</t>
  </si>
  <si>
    <t>【開発】RPA作成/業務効率化作業　セミナー関連順次</t>
  </si>
  <si>
    <t>【社内セミナー】下水道　/中伏さん　9:30～</t>
    <rPh sb="1" eb="3">
      <t>シャナイ</t>
    </rPh>
    <rPh sb="5" eb="7">
      <t>ジバン</t>
    </rPh>
    <rPh sb="8" eb="11">
      <t>ゲスイドウ</t>
    </rPh>
    <rPh sb="13" eb="15">
      <t>ナカフシ</t>
    </rPh>
    <phoneticPr fontId="5"/>
  </si>
  <si>
    <t>【社内セミナー】　図面の話　/今井さん　9:30～</t>
    <rPh sb="1" eb="3">
      <t>シャナイ</t>
    </rPh>
    <rPh sb="5" eb="7">
      <t>ジバン</t>
    </rPh>
    <rPh sb="7" eb="9">
      <t>コウガク</t>
    </rPh>
    <rPh sb="9" eb="11">
      <t>ズメン</t>
    </rPh>
    <rPh sb="12" eb="13">
      <t>ハナシ</t>
    </rPh>
    <rPh sb="15" eb="17">
      <t>イマイ</t>
    </rPh>
    <phoneticPr fontId="5"/>
  </si>
  <si>
    <t>【社内セミナー】　鉄筋コンクリート　/柴沼さん　9:30～</t>
    <rPh sb="1" eb="3">
      <t>シャナイ</t>
    </rPh>
    <rPh sb="5" eb="7">
      <t>ジバン</t>
    </rPh>
    <rPh sb="7" eb="9">
      <t>コウガク</t>
    </rPh>
    <rPh sb="9" eb="11">
      <t>テッキン</t>
    </rPh>
    <rPh sb="19" eb="21">
      <t>シバヌマ</t>
    </rPh>
    <phoneticPr fontId="5"/>
  </si>
  <si>
    <t>【NPO】顧客対応/請求書・領収書作成</t>
    <phoneticPr fontId="5"/>
  </si>
  <si>
    <t>【NPO】来年度に向けた　反省点・解決策の整理②</t>
  </si>
  <si>
    <t>【NPO】来年度に向けた　反省点・解決策　まとめ</t>
    <phoneticPr fontId="5"/>
  </si>
  <si>
    <t>【NPO】Webセミナー報告資料　まとめ</t>
    <rPh sb="12" eb="14">
      <t>ホウコク</t>
    </rPh>
    <rPh sb="14" eb="16">
      <t>シリョウ</t>
    </rPh>
    <phoneticPr fontId="5"/>
  </si>
  <si>
    <t>【NPO】Webセミナー　集計結果・まとめ最終確認</t>
    <rPh sb="13" eb="15">
      <t>シュウケイ</t>
    </rPh>
    <rPh sb="15" eb="17">
      <t>ケッカ</t>
    </rPh>
    <rPh sb="21" eb="23">
      <t>サイシュウ</t>
    </rPh>
    <rPh sb="23" eb="25">
      <t>カクニン</t>
    </rPh>
    <phoneticPr fontId="5"/>
  </si>
  <si>
    <t>【管理】大阪ビル　消火器取替　稟議起案</t>
    <rPh sb="1" eb="3">
      <t>カンリ</t>
    </rPh>
    <rPh sb="4" eb="6">
      <t>オオサカ</t>
    </rPh>
    <rPh sb="9" eb="12">
      <t>ショウカキ</t>
    </rPh>
    <rPh sb="12" eb="14">
      <t>トリカエ</t>
    </rPh>
    <rPh sb="15" eb="17">
      <t>リンギ</t>
    </rPh>
    <rPh sb="17" eb="19">
      <t>キアン</t>
    </rPh>
    <phoneticPr fontId="5"/>
  </si>
  <si>
    <t>【NPO】ｱﾝｹｰﾄ・CPD・領収書　各種対応</t>
    <phoneticPr fontId="5"/>
  </si>
  <si>
    <t>【NPO】ｱﾝｹｰﾄ・CPD・領収書　各種対応</t>
  </si>
  <si>
    <t>【NPO】セミナー来年度　数値目標の設定</t>
    <rPh sb="13" eb="15">
      <t>スウチ</t>
    </rPh>
    <rPh sb="15" eb="17">
      <t>モクヒョウ</t>
    </rPh>
    <rPh sb="18" eb="20">
      <t>セッテイ</t>
    </rPh>
    <phoneticPr fontId="5"/>
  </si>
  <si>
    <t>【NPO】来年度に向けた　反省点・解決策の整理①</t>
    <rPh sb="21" eb="23">
      <t>セイリ</t>
    </rPh>
    <phoneticPr fontId="5"/>
  </si>
  <si>
    <t>【開発】セミナー関連　来年度に向けた改修</t>
    <rPh sb="1" eb="3">
      <t>カイハツ</t>
    </rPh>
    <rPh sb="8" eb="10">
      <t>カンレン</t>
    </rPh>
    <rPh sb="11" eb="14">
      <t>ライネンド</t>
    </rPh>
    <rPh sb="15" eb="16">
      <t>ム</t>
    </rPh>
    <rPh sb="18" eb="20">
      <t>カイシュウ</t>
    </rPh>
    <phoneticPr fontId="5"/>
  </si>
  <si>
    <t>【開発】セミナー関連　来年度に向けた改修</t>
  </si>
  <si>
    <t>【開発】採用コンテンツ動画作成</t>
    <rPh sb="4" eb="6">
      <t>サイヨウ</t>
    </rPh>
    <rPh sb="11" eb="13">
      <t>ドウガ</t>
    </rPh>
    <rPh sb="13" eb="15">
      <t>サクセイ</t>
    </rPh>
    <phoneticPr fontId="5"/>
  </si>
  <si>
    <t>【開発】採用コンテンツ動画作成</t>
  </si>
  <si>
    <t>【管理】個人実績評価シート　作成</t>
    <rPh sb="1" eb="3">
      <t>カンリ</t>
    </rPh>
    <rPh sb="4" eb="6">
      <t>コジン</t>
    </rPh>
    <rPh sb="6" eb="8">
      <t>ジッセキ</t>
    </rPh>
    <rPh sb="8" eb="10">
      <t>ヒョウカ</t>
    </rPh>
    <rPh sb="14" eb="16">
      <t>サクセイ</t>
    </rPh>
    <phoneticPr fontId="5"/>
  </si>
  <si>
    <t>大分大学ビジネスコンペ</t>
    <rPh sb="0" eb="4">
      <t>オオイタダイガク</t>
    </rPh>
    <phoneticPr fontId="1"/>
  </si>
  <si>
    <t>共同研究：データ照査（多スパン）</t>
    <rPh sb="0" eb="2">
      <t>キョウドウ</t>
    </rPh>
    <rPh sb="2" eb="4">
      <t>ケンキュウ</t>
    </rPh>
    <rPh sb="8" eb="10">
      <t>ショウサ</t>
    </rPh>
    <rPh sb="11" eb="12">
      <t>タ</t>
    </rPh>
    <phoneticPr fontId="1"/>
  </si>
  <si>
    <t>共同研究：データ照査（多スパン）</t>
    <phoneticPr fontId="5"/>
  </si>
  <si>
    <t>　カレンダー：状況確認</t>
    <rPh sb="7" eb="11">
      <t>ジョウキョウカクニン</t>
    </rPh>
    <phoneticPr fontId="1"/>
  </si>
  <si>
    <t>共同研究：データ照査（多スパン）</t>
    <phoneticPr fontId="1"/>
  </si>
  <si>
    <t>全体研修:レイアウト確認</t>
    <phoneticPr fontId="1"/>
  </si>
  <si>
    <t>共同研究：DB取込</t>
    <phoneticPr fontId="1"/>
  </si>
  <si>
    <t>配筋DB:翼壁・桝：打合せ</t>
    <rPh sb="0" eb="2">
      <t>ハイキン</t>
    </rPh>
    <rPh sb="5" eb="7">
      <t>ヨクヘキ</t>
    </rPh>
    <rPh sb="8" eb="9">
      <t>マス</t>
    </rPh>
    <rPh sb="10" eb="12">
      <t>ウチアワ</t>
    </rPh>
    <phoneticPr fontId="1"/>
  </si>
  <si>
    <t>共同研究：DB読取PG作成</t>
    <rPh sb="0" eb="2">
      <t>キョウドウ</t>
    </rPh>
    <rPh sb="2" eb="4">
      <t>ケンキュウ</t>
    </rPh>
    <rPh sb="7" eb="9">
      <t>ヨミトリ</t>
    </rPh>
    <rPh sb="11" eb="13">
      <t>サクセイ</t>
    </rPh>
    <phoneticPr fontId="1"/>
  </si>
  <si>
    <t>カレンダー:作成</t>
    <rPh sb="6" eb="8">
      <t>サクセイ</t>
    </rPh>
    <phoneticPr fontId="1"/>
  </si>
  <si>
    <t>全体研修:表紙案作成</t>
    <rPh sb="5" eb="7">
      <t>ヒョウシ</t>
    </rPh>
    <rPh sb="7" eb="8">
      <t>アン</t>
    </rPh>
    <rPh sb="8" eb="10">
      <t>サクセイ</t>
    </rPh>
    <phoneticPr fontId="1"/>
  </si>
  <si>
    <t>全体研修:表紙案作成</t>
    <rPh sb="0" eb="2">
      <t>ゼンタイ</t>
    </rPh>
    <rPh sb="2" eb="4">
      <t>ケンシュウ</t>
    </rPh>
    <rPh sb="5" eb="7">
      <t>ヒョウシ</t>
    </rPh>
    <rPh sb="7" eb="8">
      <t>アン</t>
    </rPh>
    <rPh sb="8" eb="10">
      <t>サクセイ</t>
    </rPh>
    <phoneticPr fontId="1"/>
  </si>
  <si>
    <t>全体研修:前書き案作成</t>
    <rPh sb="5" eb="7">
      <t>マエガ</t>
    </rPh>
    <rPh sb="8" eb="9">
      <t>アン</t>
    </rPh>
    <rPh sb="9" eb="11">
      <t>サクセイ</t>
    </rPh>
    <phoneticPr fontId="1"/>
  </si>
  <si>
    <t>全体研修:前書き案作成</t>
    <rPh sb="0" eb="2">
      <t>ゼンタイ</t>
    </rPh>
    <rPh sb="2" eb="4">
      <t>ケンシュウ</t>
    </rPh>
    <rPh sb="5" eb="7">
      <t>マエガ</t>
    </rPh>
    <rPh sb="8" eb="9">
      <t>アン</t>
    </rPh>
    <rPh sb="9" eb="11">
      <t>サクセイ</t>
    </rPh>
    <phoneticPr fontId="1"/>
  </si>
  <si>
    <t>カレンダー:納品用データ作成</t>
    <rPh sb="6" eb="8">
      <t>ノウヒン</t>
    </rPh>
    <rPh sb="8" eb="9">
      <t>ヨウ</t>
    </rPh>
    <rPh sb="12" eb="14">
      <t>サクセイ</t>
    </rPh>
    <phoneticPr fontId="1"/>
  </si>
  <si>
    <t>カレンダー:納品用データ作成</t>
    <rPh sb="6" eb="9">
      <t>ノウヒンヨウ</t>
    </rPh>
    <rPh sb="12" eb="14">
      <t>サクセイ</t>
    </rPh>
    <phoneticPr fontId="1"/>
  </si>
  <si>
    <t>【管理】10月車検書類　3件送付（10/24期限車</t>
    <rPh sb="6" eb="7">
      <t>ガツ</t>
    </rPh>
    <rPh sb="7" eb="9">
      <t>シャケン</t>
    </rPh>
    <rPh sb="9" eb="11">
      <t>ショルイ</t>
    </rPh>
    <rPh sb="13" eb="14">
      <t>ケン</t>
    </rPh>
    <rPh sb="14" eb="16">
      <t>ソウフ</t>
    </rPh>
    <rPh sb="22" eb="24">
      <t>キゲン</t>
    </rPh>
    <rPh sb="24" eb="25">
      <t>シャ</t>
    </rPh>
    <phoneticPr fontId="5"/>
  </si>
  <si>
    <t>【管理】電気点検書類　ファイリング</t>
    <rPh sb="1" eb="3">
      <t>カンリ</t>
    </rPh>
    <rPh sb="4" eb="6">
      <t>デンキ</t>
    </rPh>
    <rPh sb="6" eb="8">
      <t>テンケン</t>
    </rPh>
    <rPh sb="8" eb="10">
      <t>ショルイ</t>
    </rPh>
    <phoneticPr fontId="5"/>
  </si>
  <si>
    <t>【管理】個人実績評価　面談予定（予備</t>
    <rPh sb="16" eb="18">
      <t>ヨビ</t>
    </rPh>
    <phoneticPr fontId="5"/>
  </si>
  <si>
    <t>⑴</t>
    <phoneticPr fontId="5"/>
  </si>
  <si>
    <t>【NPO】新発設計ｾﾐﾅｰ　zoom入室と音響確認</t>
    <rPh sb="21" eb="23">
      <t>オンキョウ</t>
    </rPh>
    <phoneticPr fontId="5"/>
  </si>
  <si>
    <t>【管理】個人実績評価　報告、面談予定日確認</t>
  </si>
  <si>
    <t>【管理】個人実績評価　面談予定</t>
    <phoneticPr fontId="5"/>
  </si>
  <si>
    <t>【管理】個人クラウド　書類整理</t>
    <rPh sb="1" eb="3">
      <t>カンリ</t>
    </rPh>
    <rPh sb="4" eb="6">
      <t>コジン</t>
    </rPh>
    <rPh sb="11" eb="13">
      <t>ショルイ</t>
    </rPh>
    <rPh sb="13" eb="15">
      <t>セイリ</t>
    </rPh>
    <phoneticPr fontId="5"/>
  </si>
  <si>
    <t>【総研】審査照査ｾﾐﾅｰ　社内案内メール</t>
    <rPh sb="1" eb="3">
      <t>ソウケン</t>
    </rPh>
    <rPh sb="4" eb="6">
      <t>シンサ</t>
    </rPh>
    <rPh sb="6" eb="8">
      <t>ショウサ</t>
    </rPh>
    <rPh sb="13" eb="15">
      <t>シャナイ</t>
    </rPh>
    <rPh sb="15" eb="17">
      <t>アンナイ</t>
    </rPh>
    <phoneticPr fontId="5"/>
  </si>
  <si>
    <t>【総研】配筋ｾﾐﾅｰ　社内案内メール</t>
    <rPh sb="4" eb="6">
      <t>ハイキン</t>
    </rPh>
    <phoneticPr fontId="5"/>
  </si>
  <si>
    <t>※ジャパンエレベーター　EV点検　13:00-15:00</t>
    <rPh sb="14" eb="16">
      <t>テンケン</t>
    </rPh>
    <phoneticPr fontId="5"/>
  </si>
  <si>
    <t>【開発】採用コンテンツ動画作成（撮影対象確認</t>
    <rPh sb="16" eb="18">
      <t>サツエイ</t>
    </rPh>
    <rPh sb="18" eb="20">
      <t>タイショウ</t>
    </rPh>
    <rPh sb="20" eb="22">
      <t>カクニン</t>
    </rPh>
    <phoneticPr fontId="5"/>
  </si>
  <si>
    <t>【開発】セミナーその他業務効率化作業実施</t>
  </si>
  <si>
    <t>【開発】採用コンテンツ動画作成（撮影予定①</t>
    <rPh sb="18" eb="20">
      <t>ヨテイ</t>
    </rPh>
    <phoneticPr fontId="5"/>
  </si>
  <si>
    <t>【開発】採用コンテンツ動画作成（撮影予定②</t>
    <rPh sb="18" eb="20">
      <t>ヨテイ</t>
    </rPh>
    <phoneticPr fontId="5"/>
  </si>
  <si>
    <t>【開発】採用コンテンツ動画作成（動画編集</t>
    <rPh sb="16" eb="18">
      <t>ドウガ</t>
    </rPh>
    <rPh sb="18" eb="20">
      <t>ヘンシュウ</t>
    </rPh>
    <phoneticPr fontId="5"/>
  </si>
  <si>
    <t>【NPO】Webセミナー　集計結果・まとめ・計画　報告</t>
  </si>
  <si>
    <t>【管理】個人実績評価シート　作成（予備</t>
    <phoneticPr fontId="5"/>
  </si>
  <si>
    <t xml:space="preserve"> 【保守】ｻｰﾊﾞｰ保守対応</t>
    <rPh sb="2" eb="4">
      <t>ホシュ</t>
    </rPh>
    <rPh sb="10" eb="12">
      <t>ホシュ</t>
    </rPh>
    <rPh sb="12" eb="14">
      <t>タイオウ</t>
    </rPh>
    <phoneticPr fontId="5"/>
  </si>
  <si>
    <t xml:space="preserve"> 【開発】Zoom端末Win11対応　案内資料作成</t>
    <rPh sb="19" eb="21">
      <t>アンナイ</t>
    </rPh>
    <rPh sb="21" eb="23">
      <t>シリョウ</t>
    </rPh>
    <rPh sb="23" eb="25">
      <t>サクセイ</t>
    </rPh>
    <phoneticPr fontId="5"/>
  </si>
  <si>
    <t xml:space="preserve"> 【開発】経理API連携 調査・作成</t>
    <rPh sb="16" eb="18">
      <t>サクセイ</t>
    </rPh>
    <phoneticPr fontId="5"/>
  </si>
  <si>
    <t xml:space="preserve"> 【開発】Zoom端末Win11発送準備</t>
    <rPh sb="16" eb="18">
      <t>ハッソウ</t>
    </rPh>
    <rPh sb="18" eb="20">
      <t>ジュンビ</t>
    </rPh>
    <phoneticPr fontId="5"/>
  </si>
  <si>
    <t xml:space="preserve"> 【保守】ｻｰﾊﾞｰ部品納品/ｻｰﾊﾞｰ移動</t>
    <rPh sb="2" eb="4">
      <t>ホシュ</t>
    </rPh>
    <rPh sb="10" eb="12">
      <t>ブヒン</t>
    </rPh>
    <rPh sb="12" eb="14">
      <t>ノウヒン</t>
    </rPh>
    <rPh sb="20" eb="22">
      <t>イドウ</t>
    </rPh>
    <phoneticPr fontId="5"/>
  </si>
  <si>
    <t xml:space="preserve"> 【開発】経理API連携 作成</t>
    <rPh sb="13" eb="15">
      <t>サクセイ</t>
    </rPh>
    <phoneticPr fontId="5"/>
  </si>
  <si>
    <t xml:space="preserve"> 【教育】セミナー改善状況確認</t>
    <rPh sb="9" eb="11">
      <t>カイゼン</t>
    </rPh>
    <rPh sb="11" eb="13">
      <t>ジョウキョウ</t>
    </rPh>
    <rPh sb="13" eb="15">
      <t>カクニン</t>
    </rPh>
    <phoneticPr fontId="5"/>
  </si>
  <si>
    <t xml:space="preserve"> 【開発】経理API連携 調査</t>
  </si>
  <si>
    <t xml:space="preserve"> 【開発】営業支援ツール障害対応</t>
    <rPh sb="2" eb="4">
      <t>カイハツ</t>
    </rPh>
    <rPh sb="5" eb="9">
      <t>エイギョウシエン</t>
    </rPh>
    <rPh sb="12" eb="14">
      <t>ショウガイ</t>
    </rPh>
    <rPh sb="14" eb="16">
      <t>タイオウ</t>
    </rPh>
    <phoneticPr fontId="5"/>
  </si>
  <si>
    <t xml:space="preserve"> 【管理】下期個人実績評価　評価作成</t>
    <rPh sb="5" eb="7">
      <t>シモキ</t>
    </rPh>
    <rPh sb="14" eb="16">
      <t>ヒョウカ</t>
    </rPh>
    <rPh sb="16" eb="18">
      <t>サクセイ</t>
    </rPh>
    <phoneticPr fontId="5"/>
  </si>
  <si>
    <t xml:space="preserve"> 【管理】下期個人実績評価　ｴﾋﾞﾃﾞﾝｽ作成</t>
    <rPh sb="5" eb="7">
      <t>シモキ</t>
    </rPh>
    <rPh sb="21" eb="23">
      <t>サクセイ</t>
    </rPh>
    <phoneticPr fontId="5"/>
  </si>
  <si>
    <t>敬老の日</t>
    <rPh sb="0" eb="2">
      <t>ケイロウ</t>
    </rPh>
    <rPh sb="3" eb="4">
      <t>ヒ</t>
    </rPh>
    <phoneticPr fontId="1"/>
  </si>
  <si>
    <t>　カレンダー・アルバム：状況確認</t>
    <rPh sb="12" eb="16">
      <t>ジョウキョウカクニン</t>
    </rPh>
    <phoneticPr fontId="1"/>
  </si>
  <si>
    <t>　大分大学サイネージ確認</t>
    <rPh sb="1" eb="5">
      <t>オオイタダイガク</t>
    </rPh>
    <rPh sb="10" eb="12">
      <t>カクニン</t>
    </rPh>
    <phoneticPr fontId="1"/>
  </si>
  <si>
    <t>　共同研究：DB取込</t>
    <phoneticPr fontId="1"/>
  </si>
  <si>
    <t>　共同研究：DB読取PG作成</t>
    <phoneticPr fontId="1"/>
  </si>
  <si>
    <t>　統括会議</t>
    <rPh sb="1" eb="5">
      <t>トウカツカイギ</t>
    </rPh>
    <phoneticPr fontId="1"/>
  </si>
  <si>
    <t>【定例】統括会議：資料準備</t>
    <rPh sb="4" eb="6">
      <t>トウカツ</t>
    </rPh>
    <rPh sb="6" eb="8">
      <t>カイギ</t>
    </rPh>
    <rPh sb="9" eb="11">
      <t>シリョウ</t>
    </rPh>
    <rPh sb="11" eb="13">
      <t>ジュンビ</t>
    </rPh>
    <phoneticPr fontId="1"/>
  </si>
  <si>
    <t>　採用動画コンテンツ打合せ</t>
    <rPh sb="1" eb="5">
      <t>サイヨウドウガ</t>
    </rPh>
    <rPh sb="10" eb="12">
      <t>ウチアワ</t>
    </rPh>
    <phoneticPr fontId="1"/>
  </si>
  <si>
    <t>　配筋DB：翼壁・桝：打合せ</t>
    <rPh sb="1" eb="3">
      <t>ハイキン</t>
    </rPh>
    <rPh sb="6" eb="8">
      <t>ヨクヘキ</t>
    </rPh>
    <rPh sb="9" eb="10">
      <t>マス</t>
    </rPh>
    <rPh sb="11" eb="13">
      <t>ウチアワ</t>
    </rPh>
    <phoneticPr fontId="1"/>
  </si>
  <si>
    <t>　配筋DB：翼壁・桝：資料作成</t>
    <rPh sb="11" eb="13">
      <t>シリョウ</t>
    </rPh>
    <rPh sb="13" eb="15">
      <t>サクセイ</t>
    </rPh>
    <phoneticPr fontId="1"/>
  </si>
  <si>
    <t>　配筋DB：翼壁・桝：作業指示</t>
    <rPh sb="11" eb="15">
      <t>サギョウシジ</t>
    </rPh>
    <phoneticPr fontId="1"/>
  </si>
  <si>
    <t>【管理】個人実績評価面談：新名</t>
    <rPh sb="13" eb="15">
      <t>ニイナ</t>
    </rPh>
    <phoneticPr fontId="5"/>
  </si>
  <si>
    <t>　ホームページ外注資料取り纏め</t>
    <rPh sb="7" eb="9">
      <t>ガイチュウ</t>
    </rPh>
    <rPh sb="9" eb="11">
      <t>シリョウ</t>
    </rPh>
    <rPh sb="11" eb="12">
      <t>ト</t>
    </rPh>
    <rPh sb="13" eb="14">
      <t>マト</t>
    </rPh>
    <phoneticPr fontId="1"/>
  </si>
  <si>
    <t>　大阪事業所：内線機器取り纏め</t>
    <rPh sb="1" eb="6">
      <t>オオサカジギョウショ</t>
    </rPh>
    <rPh sb="7" eb="9">
      <t>ナイセン</t>
    </rPh>
    <rPh sb="9" eb="11">
      <t>キキ</t>
    </rPh>
    <rPh sb="11" eb="12">
      <t>ト</t>
    </rPh>
    <rPh sb="13" eb="14">
      <t>マト</t>
    </rPh>
    <phoneticPr fontId="1"/>
  </si>
  <si>
    <t>　採用動画コンテンツ資料確認</t>
    <rPh sb="1" eb="5">
      <t>サイヨウドウガ</t>
    </rPh>
    <rPh sb="10" eb="12">
      <t>シリョウ</t>
    </rPh>
    <rPh sb="12" eb="14">
      <t>カクニン</t>
    </rPh>
    <phoneticPr fontId="1"/>
  </si>
  <si>
    <t>　カレンダー納品データ確認</t>
    <rPh sb="6" eb="8">
      <t>ノウヒン</t>
    </rPh>
    <rPh sb="11" eb="13">
      <t>カクニン</t>
    </rPh>
    <phoneticPr fontId="1"/>
  </si>
  <si>
    <t>【社内セミナー】審査照査　/平野さん　9:30～</t>
    <rPh sb="1" eb="3">
      <t>シャナイ</t>
    </rPh>
    <rPh sb="5" eb="7">
      <t>ジバン</t>
    </rPh>
    <rPh sb="8" eb="10">
      <t>シンサ</t>
    </rPh>
    <rPh sb="10" eb="12">
      <t>ショウサ</t>
    </rPh>
    <rPh sb="14" eb="16">
      <t>ヒラノ</t>
    </rPh>
    <phoneticPr fontId="5"/>
  </si>
  <si>
    <t>【社内セミナー】　配筋の話　/今井さん　9:30～</t>
    <rPh sb="1" eb="3">
      <t>シャナイ</t>
    </rPh>
    <rPh sb="5" eb="7">
      <t>ジバン</t>
    </rPh>
    <rPh sb="7" eb="9">
      <t>コウガク</t>
    </rPh>
    <rPh sb="9" eb="11">
      <t>ハイキン</t>
    </rPh>
    <rPh sb="12" eb="13">
      <t>ハナシ</t>
    </rPh>
    <rPh sb="15" eb="17">
      <t>イマイ</t>
    </rPh>
    <phoneticPr fontId="5"/>
  </si>
  <si>
    <t>【管理】個人クラウド　書類整理②</t>
    <phoneticPr fontId="5"/>
  </si>
  <si>
    <t>【管理】個人クラウド　書類整理③</t>
    <phoneticPr fontId="5"/>
  </si>
  <si>
    <t>【開発】採用コンテンツ動画作成（14:00～打ち合わせ</t>
    <rPh sb="22" eb="23">
      <t>ウ</t>
    </rPh>
    <rPh sb="24" eb="25">
      <t>ア</t>
    </rPh>
    <phoneticPr fontId="5"/>
  </si>
  <si>
    <t>【開発】採用コンテンツ動画作成</t>
    <phoneticPr fontId="5"/>
  </si>
  <si>
    <t>【開発】セミナーその他業務効率化作業（洗い出し）</t>
    <rPh sb="10" eb="11">
      <t>タ</t>
    </rPh>
    <rPh sb="19" eb="20">
      <t>アラ</t>
    </rPh>
    <rPh sb="21" eb="22">
      <t>ダ</t>
    </rPh>
    <phoneticPr fontId="5"/>
  </si>
  <si>
    <t>【開発】セミナーその他業務効率化作業（作業実施）</t>
    <rPh sb="19" eb="21">
      <t>サギョウ</t>
    </rPh>
    <rPh sb="21" eb="23">
      <t>ジッシ</t>
    </rPh>
    <phoneticPr fontId="5"/>
  </si>
  <si>
    <t>【管理】東さん　MTG再開予定確認（10月から見込）</t>
    <rPh sb="1" eb="3">
      <t>カンリ</t>
    </rPh>
    <rPh sb="4" eb="5">
      <t>ヒガシ</t>
    </rPh>
    <rPh sb="11" eb="13">
      <t>サイカイ</t>
    </rPh>
    <rPh sb="13" eb="15">
      <t>ヨテイ</t>
    </rPh>
    <rPh sb="15" eb="17">
      <t>カクニン</t>
    </rPh>
    <rPh sb="20" eb="21">
      <t>ガツ</t>
    </rPh>
    <rPh sb="23" eb="25">
      <t>ミコ</t>
    </rPh>
    <phoneticPr fontId="5"/>
  </si>
  <si>
    <t>【開発】セミナーその他業務効率化作業（洗い出し）</t>
  </si>
  <si>
    <t>【管理】電気点検書類/EV報告書　ファイリング</t>
  </si>
  <si>
    <t>【開発】ウンUN会議　13:10～</t>
    <rPh sb="1" eb="3">
      <t>カイハツ</t>
    </rPh>
    <rPh sb="8" eb="10">
      <t>カイギ</t>
    </rPh>
    <phoneticPr fontId="5"/>
  </si>
  <si>
    <t>【開発】セミナーその他業務効率化作業（作業実施）</t>
  </si>
  <si>
    <t xml:space="preserve"> 【管理】下期個人実績評価　評価修正</t>
    <rPh sb="5" eb="7">
      <t>シモキ</t>
    </rPh>
    <rPh sb="14" eb="16">
      <t>ヒョウカ</t>
    </rPh>
    <rPh sb="16" eb="18">
      <t>シュウセイ</t>
    </rPh>
    <phoneticPr fontId="5"/>
  </si>
  <si>
    <t xml:space="preserve"> 【開発】経理API連携　資料確認</t>
    <phoneticPr fontId="5"/>
  </si>
  <si>
    <t xml:space="preserve"> 【開発】Forum8連携ツール改修　設計資料作成</t>
    <rPh sb="19" eb="21">
      <t>セッケイ</t>
    </rPh>
    <rPh sb="21" eb="23">
      <t>シリョウ</t>
    </rPh>
    <rPh sb="23" eb="25">
      <t>サクセイ</t>
    </rPh>
    <phoneticPr fontId="5"/>
  </si>
  <si>
    <t xml:space="preserve"> 【開発】どっと原価　請求書作成資料作成</t>
    <rPh sb="8" eb="10">
      <t>ゲンカ</t>
    </rPh>
    <rPh sb="11" eb="14">
      <t>セイキュウショ</t>
    </rPh>
    <rPh sb="14" eb="16">
      <t>サクセイ</t>
    </rPh>
    <rPh sb="16" eb="18">
      <t>シリョウ</t>
    </rPh>
    <rPh sb="18" eb="20">
      <t>サクセイ</t>
    </rPh>
    <phoneticPr fontId="5"/>
  </si>
  <si>
    <t xml:space="preserve"> 【管理】上期個人実績評価　目標作成</t>
    <rPh sb="5" eb="7">
      <t>カミキ</t>
    </rPh>
    <rPh sb="7" eb="9">
      <t>コジン</t>
    </rPh>
    <rPh sb="14" eb="16">
      <t>モクヒョウ</t>
    </rPh>
    <rPh sb="16" eb="18">
      <t>サクセイ</t>
    </rPh>
    <phoneticPr fontId="5"/>
  </si>
  <si>
    <t xml:space="preserve"> 【開発】Forum8連携ツール改修　打合せ</t>
    <phoneticPr fontId="5"/>
  </si>
  <si>
    <t xml:space="preserve"> 【開発】Forum8連携ツール改修　行程作成</t>
    <rPh sb="16" eb="18">
      <t>カイシュウ</t>
    </rPh>
    <rPh sb="19" eb="21">
      <t>コウテイ</t>
    </rPh>
    <rPh sb="21" eb="23">
      <t>サクセイ</t>
    </rPh>
    <phoneticPr fontId="5"/>
  </si>
  <si>
    <t xml:space="preserve"> 【管理】上期個人実績評価　目標作成</t>
    <rPh sb="2" eb="4">
      <t>カンリ</t>
    </rPh>
    <rPh sb="5" eb="7">
      <t>カミキ</t>
    </rPh>
    <rPh sb="7" eb="9">
      <t>コジン</t>
    </rPh>
    <rPh sb="9" eb="11">
      <t>ジッセキ</t>
    </rPh>
    <rPh sb="11" eb="13">
      <t>ヒョウカ</t>
    </rPh>
    <rPh sb="14" eb="16">
      <t>モクヒョウ</t>
    </rPh>
    <rPh sb="16" eb="18">
      <t>サクセイ</t>
    </rPh>
    <phoneticPr fontId="5"/>
  </si>
  <si>
    <t xml:space="preserve"> 【開発】Forum8連携ツール改修　PG</t>
    <rPh sb="16" eb="18">
      <t>カイシュウ</t>
    </rPh>
    <phoneticPr fontId="5"/>
  </si>
  <si>
    <t>随時</t>
    <rPh sb="0" eb="2">
      <t>ズイジ</t>
    </rPh>
    <phoneticPr fontId="5"/>
  </si>
  <si>
    <t xml:space="preserve"> 【開発】出走情報確認</t>
    <phoneticPr fontId="5"/>
  </si>
  <si>
    <t xml:space="preserve"> 【開発】出走結果発信</t>
    <rPh sb="5" eb="7">
      <t>シュッソウ</t>
    </rPh>
    <rPh sb="7" eb="9">
      <t>ケッカ</t>
    </rPh>
    <rPh sb="9" eb="11">
      <t>ハッシン</t>
    </rPh>
    <phoneticPr fontId="5"/>
  </si>
  <si>
    <t xml:space="preserve"> 【開発】競走馬：出走予定・情報発信　16時～</t>
    <phoneticPr fontId="5"/>
  </si>
  <si>
    <t>　Forum8連携打合せ</t>
    <rPh sb="7" eb="9">
      <t>レンケイ</t>
    </rPh>
    <rPh sb="9" eb="11">
      <t>ウチアワ</t>
    </rPh>
    <phoneticPr fontId="1"/>
  </si>
  <si>
    <t>　共同研究：進捗打合せ</t>
    <rPh sb="1" eb="5">
      <t>キョウドウケンキュウ</t>
    </rPh>
    <rPh sb="6" eb="8">
      <t>シンチョク</t>
    </rPh>
    <rPh sb="8" eb="10">
      <t>ウチアワ</t>
    </rPh>
    <phoneticPr fontId="1"/>
  </si>
  <si>
    <t>【管理】個人実績評価面談：新名</t>
    <phoneticPr fontId="1"/>
  </si>
  <si>
    <t>　配筋DB：翼壁・桝：作業指示</t>
    <phoneticPr fontId="1"/>
  </si>
  <si>
    <t>　配筋DB：翼壁・桝：DB取込</t>
    <rPh sb="13" eb="15">
      <t>トリコミ</t>
    </rPh>
    <phoneticPr fontId="1"/>
  </si>
  <si>
    <t>　配筋DB：翼壁・桝：打合せ</t>
    <rPh sb="11" eb="13">
      <t>ウチアワ</t>
    </rPh>
    <phoneticPr fontId="1"/>
  </si>
  <si>
    <t xml:space="preserve"> 【競走馬】出走結果発信</t>
    <phoneticPr fontId="5"/>
  </si>
  <si>
    <t xml:space="preserve"> 【開発】Forum8連携ツール改修　①拡幅0　ｼｰﾄ内容</t>
    <rPh sb="27" eb="29">
      <t>ナイヨウ</t>
    </rPh>
    <phoneticPr fontId="5"/>
  </si>
  <si>
    <t xml:space="preserve"> 【開発】Forum8連携ツール改修　①拡幅0　動作検証</t>
    <rPh sb="24" eb="26">
      <t>ドウサ</t>
    </rPh>
    <rPh sb="26" eb="28">
      <t>ケンショウ</t>
    </rPh>
    <phoneticPr fontId="5"/>
  </si>
  <si>
    <t xml:space="preserve"> 【開発】Forum8連携ツール改修　②多スパン　ｼｰﾄ処理</t>
    <phoneticPr fontId="5"/>
  </si>
  <si>
    <t xml:space="preserve"> 【開発】Forum8連携ツール改修　①拡幅0　ｼｰﾄ処理</t>
    <rPh sb="27" eb="29">
      <t>ショリ</t>
    </rPh>
    <phoneticPr fontId="5"/>
  </si>
  <si>
    <t xml:space="preserve"> 【管業】防火管理月次シート作成</t>
    <rPh sb="9" eb="11">
      <t>ゲツジ</t>
    </rPh>
    <rPh sb="14" eb="16">
      <t>サクセイ</t>
    </rPh>
    <phoneticPr fontId="5"/>
  </si>
  <si>
    <t xml:space="preserve"> 【開発】Forum8連携ツール改修　①拡幅0　ｼｰﾄ処理</t>
    <phoneticPr fontId="5"/>
  </si>
  <si>
    <t xml:space="preserve"> 【開発】Forum8連携ツール改修　①拡幅0　ｼｰﾄ内容確認</t>
    <rPh sb="29" eb="31">
      <t>カクニン</t>
    </rPh>
    <phoneticPr fontId="5"/>
  </si>
  <si>
    <t xml:space="preserve"> 【開発】Forum8連携ツール改修　①拡幅0　動作検証</t>
    <phoneticPr fontId="5"/>
  </si>
  <si>
    <t xml:space="preserve"> 【開発】経理API連携　資料修正</t>
    <rPh sb="15" eb="17">
      <t>シュウセイ</t>
    </rPh>
    <phoneticPr fontId="5"/>
  </si>
  <si>
    <t xml:space="preserve"> 【開発】どっと原価請求書作成　資料修正</t>
    <rPh sb="8" eb="10">
      <t>ゲンカ</t>
    </rPh>
    <rPh sb="10" eb="15">
      <t>セイキュウショサクセイ</t>
    </rPh>
    <rPh sb="18" eb="20">
      <t>シュウセイ</t>
    </rPh>
    <phoneticPr fontId="5"/>
  </si>
  <si>
    <t xml:space="preserve"> 【開発】ネットワーク障害対策　素案</t>
    <rPh sb="11" eb="13">
      <t>ショウガイ</t>
    </rPh>
    <rPh sb="13" eb="15">
      <t>タイサク</t>
    </rPh>
    <rPh sb="16" eb="18">
      <t>ソアン</t>
    </rPh>
    <phoneticPr fontId="5"/>
  </si>
  <si>
    <t xml:space="preserve"> 【開発】HP月次対応</t>
    <rPh sb="7" eb="9">
      <t>ゲツジ</t>
    </rPh>
    <rPh sb="9" eb="11">
      <t>タイオウ</t>
    </rPh>
    <phoneticPr fontId="5"/>
  </si>
  <si>
    <t xml:space="preserve"> 【競走馬】出走情報発信</t>
    <phoneticPr fontId="5"/>
  </si>
  <si>
    <t>【開発】Googleアナリティクスレポート　9月度</t>
    <rPh sb="1" eb="3">
      <t>カイハツ</t>
    </rPh>
    <rPh sb="23" eb="24">
      <t>ガツ</t>
    </rPh>
    <rPh sb="24" eb="25">
      <t>ド</t>
    </rPh>
    <phoneticPr fontId="5"/>
  </si>
  <si>
    <t>【総研】樋門樋管ｾﾐﾅｰ　社内案内メール</t>
  </si>
  <si>
    <t>【開発】採用コンテンツ動画作成（確認修正</t>
    <phoneticPr fontId="5"/>
  </si>
  <si>
    <t>【管理】業務確認、残作業対応</t>
    <rPh sb="4" eb="6">
      <t>ギョウム</t>
    </rPh>
    <rPh sb="6" eb="8">
      <t>カクニン</t>
    </rPh>
    <rPh sb="9" eb="12">
      <t>ザンサギョウ</t>
    </rPh>
    <rPh sb="12" eb="14">
      <t>タイオウ</t>
    </rPh>
    <phoneticPr fontId="5"/>
  </si>
  <si>
    <t>【定例】月次作業</t>
    <rPh sb="4" eb="6">
      <t>ゲツジ</t>
    </rPh>
    <rPh sb="6" eb="8">
      <t>サギョウ</t>
    </rPh>
    <phoneticPr fontId="1"/>
  </si>
  <si>
    <t>　大分大学サイネージ提出</t>
    <rPh sb="1" eb="5">
      <t>オオイタダイガク</t>
    </rPh>
    <rPh sb="10" eb="12">
      <t>テイシュツ</t>
    </rPh>
    <phoneticPr fontId="1"/>
  </si>
  <si>
    <t>　民謡広告提出</t>
    <rPh sb="1" eb="3">
      <t>ミンヨウ</t>
    </rPh>
    <rPh sb="3" eb="5">
      <t>コウコク</t>
    </rPh>
    <rPh sb="5" eb="7">
      <t>テイシュツ</t>
    </rPh>
    <phoneticPr fontId="1"/>
  </si>
  <si>
    <t>　カレンダー納品データ変換</t>
    <rPh sb="6" eb="8">
      <t>ノウヒン</t>
    </rPh>
    <rPh sb="11" eb="13">
      <t>ヘンカン</t>
    </rPh>
    <phoneticPr fontId="1"/>
  </si>
  <si>
    <t>　配筋DB・翼壁・桝</t>
    <rPh sb="1" eb="3">
      <t>ハイキン</t>
    </rPh>
    <rPh sb="6" eb="8">
      <t>ヨクヘキ</t>
    </rPh>
    <rPh sb="9" eb="10">
      <t>マス</t>
    </rPh>
    <phoneticPr fontId="1"/>
  </si>
  <si>
    <t>　髙陽君打合せ</t>
    <rPh sb="1" eb="4">
      <t>タカヒクン</t>
    </rPh>
    <rPh sb="4" eb="6">
      <t>ウチアワ</t>
    </rPh>
    <phoneticPr fontId="1"/>
  </si>
  <si>
    <t>　配筋DB・翼壁・桝</t>
    <phoneticPr fontId="1"/>
  </si>
  <si>
    <t>　アルバム修正</t>
    <rPh sb="5" eb="7">
      <t>シュウセイ</t>
    </rPh>
    <phoneticPr fontId="1"/>
  </si>
  <si>
    <t>　配筋DB・翼壁・桝：打合せ</t>
    <rPh sb="11" eb="13">
      <t>ウチアワ</t>
    </rPh>
    <phoneticPr fontId="1"/>
  </si>
  <si>
    <t>　統一工程表修正</t>
    <rPh sb="1" eb="3">
      <t>トウイツ</t>
    </rPh>
    <rPh sb="3" eb="6">
      <t>コウテイヒョウ</t>
    </rPh>
    <rPh sb="6" eb="8">
      <t>シュウセイ</t>
    </rPh>
    <phoneticPr fontId="1"/>
  </si>
  <si>
    <t>　月初作業</t>
    <rPh sb="1" eb="3">
      <t>ゲッショ</t>
    </rPh>
    <rPh sb="3" eb="5">
      <t>サギョウ</t>
    </rPh>
    <phoneticPr fontId="1"/>
  </si>
  <si>
    <t>【管理】社有車　エンジン確認</t>
  </si>
  <si>
    <t>【NPO】2025年度セミナー　講師調整相談</t>
  </si>
  <si>
    <t>　障害対策用HDD：2～4台目対応</t>
    <rPh sb="1" eb="3">
      <t>ショウガイ</t>
    </rPh>
    <rPh sb="3" eb="6">
      <t>タイサクヨウ</t>
    </rPh>
    <rPh sb="13" eb="15">
      <t>ダイメ</t>
    </rPh>
    <rPh sb="15" eb="17">
      <t>タイオウ</t>
    </rPh>
    <phoneticPr fontId="5"/>
  </si>
  <si>
    <t>【営業】電話営業応援</t>
  </si>
  <si>
    <t xml:space="preserve">【NPO】2025年度セミナー　講師調整相談（メール確認対応あれば）	</t>
  </si>
  <si>
    <t>　実績会議</t>
    <rPh sb="1" eb="5">
      <t>ジッセキカイギ</t>
    </rPh>
    <phoneticPr fontId="1"/>
  </si>
  <si>
    <t xml:space="preserve"> 【開発】 Microsoft365&amp;Copilot：進捗確認</t>
    <phoneticPr fontId="1"/>
  </si>
  <si>
    <t xml:space="preserve"> 【管業】防火管理チェック</t>
    <rPh sb="5" eb="7">
      <t>ボウカ</t>
    </rPh>
    <rPh sb="7" eb="9">
      <t>カンリ</t>
    </rPh>
    <phoneticPr fontId="5"/>
  </si>
  <si>
    <t xml:space="preserve"> 【開発】各事象所サーバーチェック</t>
    <rPh sb="2" eb="4">
      <t>カイハツ</t>
    </rPh>
    <rPh sb="5" eb="6">
      <t>カク</t>
    </rPh>
    <rPh sb="6" eb="9">
      <t>ジショウショ</t>
    </rPh>
    <phoneticPr fontId="5"/>
  </si>
  <si>
    <t xml:space="preserve"> 【開発】経理RPA　設計</t>
    <rPh sb="2" eb="4">
      <t>カイハツ</t>
    </rPh>
    <rPh sb="11" eb="13">
      <t>セッケイ</t>
    </rPh>
    <phoneticPr fontId="5"/>
  </si>
  <si>
    <t xml:space="preserve"> 【開発】経理RPA　フロー作成</t>
    <rPh sb="2" eb="4">
      <t>カイハツ</t>
    </rPh>
    <rPh sb="14" eb="16">
      <t>サクセイ</t>
    </rPh>
    <phoneticPr fontId="5"/>
  </si>
  <si>
    <t xml:space="preserve"> 【開発】年度更新　Frum8、ｻｰﾊﾞｰ暗号化</t>
    <rPh sb="2" eb="4">
      <t>カイハツ</t>
    </rPh>
    <rPh sb="5" eb="7">
      <t>ネンド</t>
    </rPh>
    <rPh sb="7" eb="9">
      <t>コウシン</t>
    </rPh>
    <rPh sb="20" eb="23">
      <t>アンゴウカ</t>
    </rPh>
    <phoneticPr fontId="5"/>
  </si>
  <si>
    <t xml:space="preserve"> 【HP】Webｾﾐﾅｰ　講師紹介ﾍﾟｰｼﾞ作成ツール　入力一覧</t>
    <rPh sb="28" eb="30">
      <t>ニュウリョク</t>
    </rPh>
    <rPh sb="30" eb="32">
      <t>イチラン</t>
    </rPh>
    <phoneticPr fontId="5"/>
  </si>
  <si>
    <t xml:space="preserve"> 【広報】インタビュー対応</t>
    <rPh sb="2" eb="4">
      <t>コウホウ</t>
    </rPh>
    <rPh sb="11" eb="13">
      <t>タイオウ</t>
    </rPh>
    <phoneticPr fontId="5"/>
  </si>
  <si>
    <t xml:space="preserve"> 【HP】Webｾﾐﾅｰ　講師紹介ﾍﾟｰｼﾞ作成ツール　出力機能</t>
    <rPh sb="28" eb="30">
      <t>シュツリョク</t>
    </rPh>
    <rPh sb="30" eb="32">
      <t>キノウ</t>
    </rPh>
    <phoneticPr fontId="5"/>
  </si>
  <si>
    <t xml:space="preserve"> 【HP】Webｾﾐﾅｰ　講師紹介ﾍﾟｰｼﾞ作成ツール　検証</t>
    <rPh sb="28" eb="30">
      <t>ケンショウ</t>
    </rPh>
    <phoneticPr fontId="5"/>
  </si>
  <si>
    <t xml:space="preserve"> 【開発】Microsoft365　ﾒﾝﾊﾞｰｲﾝｽﾄｰﾙ設定</t>
    <rPh sb="29" eb="31">
      <t>セッテイ</t>
    </rPh>
    <phoneticPr fontId="5"/>
  </si>
  <si>
    <t xml:space="preserve"> 【開発】Microsoft365copilot　ﾒﾝﾊﾞｰｲﾝｽﾄｰﾙ設定</t>
    <rPh sb="36" eb="38">
      <t>セッテイ</t>
    </rPh>
    <phoneticPr fontId="5"/>
  </si>
  <si>
    <t xml:space="preserve"> 【開発】Microsoft365copilot　ﾒﾝﾊﾞｰ設定</t>
    <rPh sb="30" eb="32">
      <t>セッテイ</t>
    </rPh>
    <phoneticPr fontId="5"/>
  </si>
  <si>
    <t xml:space="preserve"> 【開発】Microsoft365　ﾒﾝﾊﾞｰ設定</t>
    <rPh sb="23" eb="25">
      <t>セッテイ</t>
    </rPh>
    <phoneticPr fontId="5"/>
  </si>
  <si>
    <t xml:space="preserve"> 【開発】AI開発　生成AI開発学習/調査</t>
    <rPh sb="16" eb="18">
      <t>ガクシュウ</t>
    </rPh>
    <rPh sb="19" eb="21">
      <t>チョウサ</t>
    </rPh>
    <phoneticPr fontId="5"/>
  </si>
  <si>
    <t xml:space="preserve"> 【HP】Webｾﾐﾅｰ　講師紹介ﾍﾟｰｼﾞ作成ツール　出力機能</t>
    <phoneticPr fontId="5"/>
  </si>
  <si>
    <t xml:space="preserve"> 【管業】週間スケジュール作成/受け取り</t>
    <phoneticPr fontId="5"/>
  </si>
  <si>
    <t>【NPO】CPD申請用ﾌﾟﾛｸﾞﾗﾑ詳細作成/管理ツール登録</t>
    <rPh sb="8" eb="11">
      <t>シンセイヨウ</t>
    </rPh>
    <rPh sb="18" eb="20">
      <t>ショウサイ</t>
    </rPh>
    <rPh sb="20" eb="22">
      <t>サクセイ</t>
    </rPh>
    <rPh sb="23" eb="25">
      <t>カンリ</t>
    </rPh>
    <rPh sb="28" eb="30">
      <t>トウロク</t>
    </rPh>
    <phoneticPr fontId="5"/>
  </si>
  <si>
    <t>【総研】Amazon書籍発送日時　変更と佐藤さんへご報告</t>
    <rPh sb="20" eb="22">
      <t>サトウ</t>
    </rPh>
    <phoneticPr fontId="5"/>
  </si>
  <si>
    <t>【NPO】Webセミナー　当日司会用PPT作成</t>
  </si>
  <si>
    <t>【NPO】Webセミナー　各講師に年始のご挨拶ﾒｰﾙ送付</t>
  </si>
  <si>
    <t>【NPO】Webセミナー　SNS発信企画案/社長報告・追加作成</t>
    <phoneticPr fontId="5"/>
  </si>
  <si>
    <t>【NPO】マニュアル記載追加（日程変更・非ｽﾗｲﾄﾞｼｮｰ)</t>
  </si>
  <si>
    <t>　大分大学：単位取得確認</t>
    <rPh sb="1" eb="5">
      <t>オオイタダイガク</t>
    </rPh>
    <rPh sb="6" eb="8">
      <t>タンイ</t>
    </rPh>
    <rPh sb="8" eb="10">
      <t>シュトク</t>
    </rPh>
    <rPh sb="10" eb="12">
      <t>カクニン</t>
    </rPh>
    <phoneticPr fontId="1"/>
  </si>
  <si>
    <t xml:space="preserve"> 　ラクスル売掛打合せ</t>
    <rPh sb="6" eb="8">
      <t>ウリカケ</t>
    </rPh>
    <rPh sb="8" eb="10">
      <t>ウチアワ</t>
    </rPh>
    <phoneticPr fontId="1"/>
  </si>
  <si>
    <t>　実績会議：資料印刷</t>
    <rPh sb="1" eb="5">
      <t>ジッセキカイギ</t>
    </rPh>
    <rPh sb="6" eb="10">
      <t>シリョウインサツ</t>
    </rPh>
    <phoneticPr fontId="1"/>
  </si>
  <si>
    <t>　大分県WEB説明会事前説明</t>
    <rPh sb="1" eb="4">
      <t>オオイタケン</t>
    </rPh>
    <rPh sb="7" eb="10">
      <t>セツメイカイ</t>
    </rPh>
    <rPh sb="10" eb="12">
      <t>ジゼン</t>
    </rPh>
    <rPh sb="12" eb="14">
      <t>セツメイ</t>
    </rPh>
    <phoneticPr fontId="1"/>
  </si>
  <si>
    <t>　障害対策用HDD：VSS設定</t>
    <rPh sb="1" eb="3">
      <t>ショウガイ</t>
    </rPh>
    <rPh sb="3" eb="6">
      <t>タイサクヨウ</t>
    </rPh>
    <rPh sb="13" eb="15">
      <t>セッテイ</t>
    </rPh>
    <phoneticPr fontId="1"/>
  </si>
  <si>
    <t>　障害対策用HDD：発送作業</t>
    <rPh sb="10" eb="12">
      <t>ハッソウ</t>
    </rPh>
    <rPh sb="12" eb="14">
      <t>サギョウ</t>
    </rPh>
    <phoneticPr fontId="1"/>
  </si>
  <si>
    <t>　 AI調査　DELLサーバ確認</t>
    <rPh sb="4" eb="6">
      <t>チョウサ</t>
    </rPh>
    <rPh sb="14" eb="16">
      <t>カクニン</t>
    </rPh>
    <phoneticPr fontId="5"/>
  </si>
  <si>
    <t>　障害対策用HDD：2～4台目対応</t>
    <phoneticPr fontId="1"/>
  </si>
  <si>
    <t xml:space="preserve"> 【開発】 クラウンプロテクト改修</t>
    <rPh sb="15" eb="17">
      <t>カイシュウ</t>
    </rPh>
    <phoneticPr fontId="1"/>
  </si>
  <si>
    <t>　年初打合せ</t>
    <rPh sb="1" eb="3">
      <t>ネンショ</t>
    </rPh>
    <rPh sb="3" eb="5">
      <t>ウチアワ</t>
    </rPh>
    <phoneticPr fontId="1"/>
  </si>
  <si>
    <t>　HP・SNS確認</t>
    <rPh sb="7" eb="9">
      <t>カクニン</t>
    </rPh>
    <phoneticPr fontId="1"/>
  </si>
  <si>
    <t xml:space="preserve"> 【管業】防火管理・サーバー（さいたま・大阪）チェック</t>
    <rPh sb="5" eb="7">
      <t>ボウカ</t>
    </rPh>
    <rPh sb="7" eb="9">
      <t>カンリ</t>
    </rPh>
    <rPh sb="20" eb="22">
      <t>オオサカ</t>
    </rPh>
    <phoneticPr fontId="5"/>
  </si>
  <si>
    <t xml:space="preserve"> 【管業】防火管理・サーバー（SVR）チェック</t>
    <phoneticPr fontId="5"/>
  </si>
  <si>
    <t xml:space="preserve"> 【開発】経理API　RPAフロー確認</t>
    <rPh sb="2" eb="4">
      <t>カイハツ</t>
    </rPh>
    <rPh sb="17" eb="19">
      <t>カクニン</t>
    </rPh>
    <phoneticPr fontId="5"/>
  </si>
  <si>
    <t xml:space="preserve"> 【開発】経理API　RPAフロー作成</t>
    <rPh sb="2" eb="4">
      <t>カイハツ</t>
    </rPh>
    <rPh sb="17" eb="19">
      <t>サクセイ</t>
    </rPh>
    <phoneticPr fontId="5"/>
  </si>
  <si>
    <t xml:space="preserve"> 【開発】リコープリンター購入設置前日確認</t>
    <rPh sb="2" eb="4">
      <t>カイハツ</t>
    </rPh>
    <rPh sb="13" eb="15">
      <t>コウニュウ</t>
    </rPh>
    <rPh sb="15" eb="17">
      <t>セッチ</t>
    </rPh>
    <rPh sb="17" eb="19">
      <t>ゼンジツ</t>
    </rPh>
    <rPh sb="19" eb="21">
      <t>カクニン</t>
    </rPh>
    <phoneticPr fontId="5"/>
  </si>
  <si>
    <t xml:space="preserve"> 【開発】リコープリンター購入設置</t>
    <rPh sb="2" eb="4">
      <t>カイハツ</t>
    </rPh>
    <rPh sb="13" eb="15">
      <t>コウニュウ</t>
    </rPh>
    <rPh sb="15" eb="17">
      <t>セッチ</t>
    </rPh>
    <phoneticPr fontId="5"/>
  </si>
  <si>
    <t>Frum8更新　稟議作成</t>
    <rPh sb="5" eb="7">
      <t>コウシン</t>
    </rPh>
    <rPh sb="8" eb="10">
      <t>リンギ</t>
    </rPh>
    <rPh sb="10" eb="12">
      <t>サクセイ</t>
    </rPh>
    <phoneticPr fontId="5"/>
  </si>
  <si>
    <t>【開発】総研、NPO　HP冬季休業お知らせ非表示</t>
    <phoneticPr fontId="5"/>
  </si>
  <si>
    <t xml:space="preserve"> 【HP】Webｾﾐﾅｰ　講師紹介ﾍﾟｰｼﾞ作成ツール　説明</t>
    <rPh sb="28" eb="30">
      <t>セツメイ</t>
    </rPh>
    <phoneticPr fontId="5"/>
  </si>
  <si>
    <t xml:space="preserve"> 【開発】Microsoft365copilot　検証纏め</t>
    <rPh sb="25" eb="27">
      <t>ケンショウ</t>
    </rPh>
    <rPh sb="27" eb="28">
      <t>マト</t>
    </rPh>
    <phoneticPr fontId="5"/>
  </si>
  <si>
    <t>【開発】総研、NPO　HP冬季休業お知らせ非表示</t>
    <rPh sb="13" eb="15">
      <t>トウキ</t>
    </rPh>
    <rPh sb="21" eb="24">
      <t>ヒヒョウジ</t>
    </rPh>
    <phoneticPr fontId="5"/>
  </si>
  <si>
    <t>【NPO】齋藤先生依頼　兼業依頼書作成</t>
    <rPh sb="5" eb="7">
      <t>サイトウ</t>
    </rPh>
    <rPh sb="7" eb="9">
      <t>センセイ</t>
    </rPh>
    <rPh sb="9" eb="11">
      <t>イライ</t>
    </rPh>
    <rPh sb="12" eb="14">
      <t>ケンギョウ</t>
    </rPh>
    <rPh sb="14" eb="16">
      <t>イライ</t>
    </rPh>
    <rPh sb="16" eb="17">
      <t>ショ</t>
    </rPh>
    <rPh sb="17" eb="19">
      <t>サクセイ</t>
    </rPh>
    <phoneticPr fontId="5"/>
  </si>
  <si>
    <t>【NPO】Webセミナー　当日司会用PPT作成</t>
    <phoneticPr fontId="5"/>
  </si>
  <si>
    <t>【NPO】CPD申請用ﾌﾟﾛｸﾞﾗﾑ詳細作成/管理ツール登録</t>
  </si>
  <si>
    <t>　障害対策用HDD：状況確認</t>
    <rPh sb="10" eb="12">
      <t>ジョウキョウ</t>
    </rPh>
    <rPh sb="12" eb="14">
      <t>カクニン</t>
    </rPh>
    <phoneticPr fontId="1"/>
  </si>
  <si>
    <t>　障害対策用HDD：設定対応</t>
    <rPh sb="10" eb="14">
      <t>セッテイタイオウ</t>
    </rPh>
    <phoneticPr fontId="1"/>
  </si>
  <si>
    <t>　大分県WEB説明会：事前準備</t>
    <rPh sb="1" eb="4">
      <t>オオイタケン</t>
    </rPh>
    <rPh sb="7" eb="10">
      <t>セツメイカイ</t>
    </rPh>
    <rPh sb="11" eb="13">
      <t>ジゼン</t>
    </rPh>
    <rPh sb="13" eb="15">
      <t>ジュンビ</t>
    </rPh>
    <phoneticPr fontId="1"/>
  </si>
  <si>
    <t>　ウンUN増刊号：状況確認</t>
    <rPh sb="5" eb="8">
      <t>ゾウカンゴウ</t>
    </rPh>
    <rPh sb="9" eb="11">
      <t>ジョウキョウ</t>
    </rPh>
    <rPh sb="11" eb="13">
      <t>カクニン</t>
    </rPh>
    <phoneticPr fontId="1"/>
  </si>
  <si>
    <t xml:space="preserve"> 【開発】経理請求書　RPAフロー再着手</t>
    <rPh sb="2" eb="4">
      <t>カイハツ</t>
    </rPh>
    <rPh sb="7" eb="9">
      <t>セイキュウ</t>
    </rPh>
    <rPh sb="9" eb="10">
      <t>ショ</t>
    </rPh>
    <rPh sb="17" eb="20">
      <t>サイチャクシュ</t>
    </rPh>
    <phoneticPr fontId="5"/>
  </si>
  <si>
    <t xml:space="preserve"> 【開発】経理請求書　RPAフロー作成</t>
    <rPh sb="2" eb="4">
      <t>カイハツ</t>
    </rPh>
    <rPh sb="7" eb="9">
      <t>セイキュウ</t>
    </rPh>
    <rPh sb="9" eb="10">
      <t>ショ</t>
    </rPh>
    <rPh sb="17" eb="19">
      <t>サクセイ</t>
    </rPh>
    <phoneticPr fontId="5"/>
  </si>
  <si>
    <t xml:space="preserve"> 【会議】管理職養成セミナー</t>
    <rPh sb="2" eb="4">
      <t>カイギ</t>
    </rPh>
    <rPh sb="5" eb="8">
      <t>カンリショク</t>
    </rPh>
    <rPh sb="8" eb="10">
      <t>ヨウセイ</t>
    </rPh>
    <phoneticPr fontId="5"/>
  </si>
  <si>
    <t xml:space="preserve"> 【開発】Microsoft365　アプリ検証纏め</t>
    <rPh sb="21" eb="23">
      <t>ケンショウ</t>
    </rPh>
    <rPh sb="23" eb="24">
      <t>マト</t>
    </rPh>
    <phoneticPr fontId="5"/>
  </si>
  <si>
    <t xml:space="preserve"> 【開発】Microsoft365　copilot連携検証纏め</t>
    <rPh sb="25" eb="27">
      <t>レンケイ</t>
    </rPh>
    <rPh sb="27" eb="29">
      <t>ケンショウ</t>
    </rPh>
    <rPh sb="29" eb="30">
      <t>マト</t>
    </rPh>
    <phoneticPr fontId="5"/>
  </si>
  <si>
    <t xml:space="preserve"> 【開発】AI開発　生成AI開発学習　LLaMA-2ﾀﾞｳﾝﾛｰﾄﾞ</t>
    <phoneticPr fontId="5"/>
  </si>
  <si>
    <t xml:space="preserve"> 【開発】バックアップソフトライセンス発注/事前準備</t>
    <rPh sb="19" eb="21">
      <t>ハッチュウ</t>
    </rPh>
    <rPh sb="22" eb="24">
      <t>ジゼン</t>
    </rPh>
    <rPh sb="24" eb="26">
      <t>ジュンビ</t>
    </rPh>
    <phoneticPr fontId="5"/>
  </si>
  <si>
    <t xml:space="preserve"> 【開発】管理新入社員PC設置</t>
    <rPh sb="2" eb="4">
      <t>カイハツ</t>
    </rPh>
    <rPh sb="5" eb="7">
      <t>カンリ</t>
    </rPh>
    <rPh sb="7" eb="11">
      <t>シンニュウシャイン</t>
    </rPh>
    <rPh sb="13" eb="15">
      <t>セッチ</t>
    </rPh>
    <phoneticPr fontId="5"/>
  </si>
  <si>
    <t xml:space="preserve"> 【開発】バックアップソフトライセンス更新</t>
    <rPh sb="19" eb="21">
      <t>コウシン</t>
    </rPh>
    <phoneticPr fontId="5"/>
  </si>
  <si>
    <t xml:space="preserve"> 【稟議】SSL証明書年度更新対応</t>
    <rPh sb="2" eb="4">
      <t>リンギ</t>
    </rPh>
    <rPh sb="8" eb="11">
      <t>ショウメイショ</t>
    </rPh>
    <rPh sb="11" eb="13">
      <t>ネンド</t>
    </rPh>
    <rPh sb="13" eb="15">
      <t>コウシン</t>
    </rPh>
    <rPh sb="15" eb="17">
      <t>タイオウ</t>
    </rPh>
    <phoneticPr fontId="5"/>
  </si>
  <si>
    <t>【管理】大宮400す7939　香取車検書類発送</t>
    <rPh sb="1" eb="3">
      <t>カンリ</t>
    </rPh>
    <rPh sb="15" eb="17">
      <t>カトリ</t>
    </rPh>
    <rPh sb="17" eb="19">
      <t>シャケン</t>
    </rPh>
    <rPh sb="19" eb="21">
      <t>ショルイ</t>
    </rPh>
    <rPh sb="21" eb="23">
      <t>ハッソウ</t>
    </rPh>
    <phoneticPr fontId="5"/>
  </si>
  <si>
    <t>【開発】総研ノートPC変更の件　相談</t>
    <rPh sb="1" eb="3">
      <t>カイハツ</t>
    </rPh>
    <rPh sb="4" eb="6">
      <t>ソウケン</t>
    </rPh>
    <rPh sb="11" eb="13">
      <t>ヘンコウ</t>
    </rPh>
    <rPh sb="14" eb="15">
      <t>ケン</t>
    </rPh>
    <rPh sb="16" eb="18">
      <t>ソウダン</t>
    </rPh>
    <phoneticPr fontId="5"/>
  </si>
  <si>
    <t>【管理】期日管理表確認・更新　</t>
    <rPh sb="4" eb="6">
      <t>キジツ</t>
    </rPh>
    <rPh sb="6" eb="8">
      <t>カンリ</t>
    </rPh>
    <rPh sb="8" eb="9">
      <t>ヒョウ</t>
    </rPh>
    <rPh sb="9" eb="11">
      <t>カクニン</t>
    </rPh>
    <rPh sb="12" eb="14">
      <t>コウシン</t>
    </rPh>
    <phoneticPr fontId="5"/>
  </si>
  <si>
    <t>※内田技師長、井上技師長、日程確定後</t>
    <rPh sb="1" eb="6">
      <t>ウチダギシチョウ</t>
    </rPh>
    <rPh sb="7" eb="9">
      <t>イノウエ</t>
    </rPh>
    <rPh sb="9" eb="12">
      <t>ギシチョウ</t>
    </rPh>
    <rPh sb="13" eb="15">
      <t>ニッテイ</t>
    </rPh>
    <rPh sb="15" eb="17">
      <t>カクテイ</t>
    </rPh>
    <rPh sb="17" eb="18">
      <t>ゴ</t>
    </rPh>
    <phoneticPr fontId="5"/>
  </si>
  <si>
    <t>【NPO】Webセミナー　当日司会用PPT作成（完成見込み</t>
    <rPh sb="24" eb="26">
      <t>カンセイ</t>
    </rPh>
    <rPh sb="26" eb="28">
      <t>ミコ</t>
    </rPh>
    <phoneticPr fontId="5"/>
  </si>
  <si>
    <t>【NPO】HP講師紹介　情報登録</t>
  </si>
  <si>
    <t xml:space="preserve"> 【開発】Microsoft365copilot　ﾘｺｰ動画確認</t>
    <rPh sb="28" eb="30">
      <t>ドウガ</t>
    </rPh>
    <rPh sb="30" eb="32">
      <t>カクニン</t>
    </rPh>
    <phoneticPr fontId="5"/>
  </si>
  <si>
    <t xml:space="preserve"> 【管業】防火管理・サーバー（NAS/大阪）チェック</t>
    <rPh sb="5" eb="7">
      <t>ボウカ</t>
    </rPh>
    <rPh sb="7" eb="9">
      <t>カンリ</t>
    </rPh>
    <rPh sb="19" eb="21">
      <t>オオサカ</t>
    </rPh>
    <phoneticPr fontId="5"/>
  </si>
  <si>
    <t xml:space="preserve"> 【開発】NAS再起動確認</t>
    <rPh sb="8" eb="11">
      <t>サイキドウ</t>
    </rPh>
    <rPh sb="11" eb="13">
      <t>カクニン</t>
    </rPh>
    <phoneticPr fontId="1"/>
  </si>
  <si>
    <t>　実績会議</t>
    <rPh sb="1" eb="3">
      <t>ジッセキ</t>
    </rPh>
    <rPh sb="3" eb="5">
      <t>カイギ</t>
    </rPh>
    <phoneticPr fontId="1"/>
  </si>
  <si>
    <t xml:space="preserve"> 【開発】 クラウンフィクサー改修</t>
    <rPh sb="15" eb="17">
      <t>カイシュウ</t>
    </rPh>
    <phoneticPr fontId="1"/>
  </si>
  <si>
    <t>　★三上さん：ウンUN編集　1.0h</t>
    <rPh sb="2" eb="4">
      <t>ミカミ</t>
    </rPh>
    <rPh sb="11" eb="13">
      <t>ヘンシュウ</t>
    </rPh>
    <phoneticPr fontId="1"/>
  </si>
  <si>
    <t xml:space="preserve"> 【定例】朝礼、清掃、髙陽当日予定・遅れ等確認</t>
    <phoneticPr fontId="5"/>
  </si>
  <si>
    <t xml:space="preserve"> 【管業】防火管理・サーバー（さいたま）チェック</t>
    <phoneticPr fontId="5"/>
  </si>
  <si>
    <t xml:space="preserve"> 【開発】経理請求書　RPAフロー作成</t>
    <phoneticPr fontId="5"/>
  </si>
  <si>
    <t xml:space="preserve"> 【開発】サーバー暗号化SSL証明書更新対応</t>
    <rPh sb="20" eb="22">
      <t>タイオウ</t>
    </rPh>
    <phoneticPr fontId="5"/>
  </si>
  <si>
    <t xml:space="preserve"> 【開発】HP管理ソフト　ﾊﾞｰｼﾞｮﾝｱｯﾌﾟ対応　ｸﾞﾙｰﾌﾟ検証環境</t>
    <rPh sb="7" eb="9">
      <t>カンリ</t>
    </rPh>
    <rPh sb="24" eb="26">
      <t>タイオウ</t>
    </rPh>
    <phoneticPr fontId="5"/>
  </si>
  <si>
    <t xml:space="preserve"> 【開発】HP管理ソフト　ﾊﾞｰｼﾞｮﾝｱｯﾌﾟ対応　NPO検証環境</t>
    <rPh sb="7" eb="9">
      <t>カンリ</t>
    </rPh>
    <rPh sb="24" eb="26">
      <t>タイオウ</t>
    </rPh>
    <rPh sb="30" eb="32">
      <t>ケンショウ</t>
    </rPh>
    <rPh sb="32" eb="34">
      <t>カンキョウ</t>
    </rPh>
    <phoneticPr fontId="5"/>
  </si>
  <si>
    <t xml:space="preserve"> 【開発】HP管理ソフト　ﾊﾞｰｼﾞｮﾝｱｯﾌﾟ対応　NPO本番環境</t>
    <rPh sb="7" eb="9">
      <t>カンリ</t>
    </rPh>
    <rPh sb="24" eb="26">
      <t>タイオウ</t>
    </rPh>
    <rPh sb="30" eb="32">
      <t>ホンバン</t>
    </rPh>
    <rPh sb="32" eb="34">
      <t>カンキョウ</t>
    </rPh>
    <phoneticPr fontId="5"/>
  </si>
  <si>
    <t xml:space="preserve"> 【開発】DELL生成AIエンジニア養成講座　13時-16時</t>
    <rPh sb="25" eb="26">
      <t>ジ</t>
    </rPh>
    <rPh sb="29" eb="30">
      <t>ジ</t>
    </rPh>
    <phoneticPr fontId="5"/>
  </si>
  <si>
    <t xml:space="preserve"> 【開発】HP管理ソフト　ﾊﾞｰｼﾞｮﾝｱｯﾌﾟ対応　ｸﾞﾙｰﾌﾟ検証環境</t>
    <rPh sb="7" eb="9">
      <t>カンリ</t>
    </rPh>
    <rPh sb="24" eb="26">
      <t>タイオウ</t>
    </rPh>
    <rPh sb="33" eb="35">
      <t>ケンショウ</t>
    </rPh>
    <rPh sb="35" eb="37">
      <t>カンキョウ</t>
    </rPh>
    <phoneticPr fontId="5"/>
  </si>
  <si>
    <t xml:space="preserve"> 【開発】ﾌﾟﾛﾃｸﾄｻｰﾊﾞｰ　ﾘﾓｰﾄ設定　仙台</t>
    <rPh sb="21" eb="23">
      <t>セッテイ</t>
    </rPh>
    <rPh sb="24" eb="26">
      <t>センダイ</t>
    </rPh>
    <phoneticPr fontId="5"/>
  </si>
  <si>
    <t xml:space="preserve"> 【定例】業務報告、髙陽進捗状況・配慮活動等確認</t>
    <phoneticPr fontId="5"/>
  </si>
  <si>
    <t>【NPO】Webセミナー　告知メール日程・詳細記載</t>
  </si>
  <si>
    <t>【総研】社内セミナー予定考案</t>
    <rPh sb="1" eb="3">
      <t>ソウケン</t>
    </rPh>
    <rPh sb="4" eb="6">
      <t>シャナイ</t>
    </rPh>
    <rPh sb="10" eb="12">
      <t>ヨテイ</t>
    </rPh>
    <rPh sb="12" eb="14">
      <t>コウアン</t>
    </rPh>
    <phoneticPr fontId="5"/>
  </si>
  <si>
    <t>【管理】IT補助金　不正受給防止の補助アンケート　回答</t>
  </si>
  <si>
    <t>【NPO】Webセミナー　CPD申請※可能な範囲で</t>
    <rPh sb="16" eb="18">
      <t>シンセイ</t>
    </rPh>
    <rPh sb="19" eb="21">
      <t>カノウ</t>
    </rPh>
    <rPh sb="22" eb="24">
      <t>ハンイ</t>
    </rPh>
    <phoneticPr fontId="5"/>
  </si>
  <si>
    <t>【NPO】Webセミナー　当日司会用PPTスライド全体整理</t>
    <rPh sb="25" eb="27">
      <t>ゼンタイ</t>
    </rPh>
    <rPh sb="27" eb="29">
      <t>セイリ</t>
    </rPh>
    <phoneticPr fontId="5"/>
  </si>
  <si>
    <t>【NPO】Webセミナー　2025年度お知らせ掲載予定考案</t>
  </si>
  <si>
    <t>【NPO】HP講師紹介　情報登録（写真加工・フリガナ</t>
  </si>
  <si>
    <t>【NPO】Webセミナー　案内メール文作成（開催日程）</t>
    <rPh sb="13" eb="15">
      <t>アンナイ</t>
    </rPh>
    <rPh sb="18" eb="19">
      <t>ブン</t>
    </rPh>
    <rPh sb="19" eb="21">
      <t>サクセイ</t>
    </rPh>
    <rPh sb="22" eb="24">
      <t>カイサイ</t>
    </rPh>
    <rPh sb="24" eb="26">
      <t>ニッテイ</t>
    </rPh>
    <phoneticPr fontId="5"/>
  </si>
  <si>
    <t>【管理】調教報告書　12月分社長報告</t>
    <rPh sb="4" eb="6">
      <t>チョウキョウ</t>
    </rPh>
    <rPh sb="6" eb="9">
      <t>ホウコクショ</t>
    </rPh>
    <rPh sb="12" eb="13">
      <t>ガツ</t>
    </rPh>
    <rPh sb="13" eb="14">
      <t>ブン</t>
    </rPh>
    <rPh sb="14" eb="16">
      <t>シャチョウ</t>
    </rPh>
    <rPh sb="16" eb="18">
      <t>ホウコク</t>
    </rPh>
    <phoneticPr fontId="5"/>
  </si>
  <si>
    <t>【NPO】Webセミナー　当日司会用PPTスライド作成</t>
  </si>
  <si>
    <t xml:space="preserve"> テレワークサービス改訂調査</t>
    <rPh sb="10" eb="12">
      <t>カイテイ</t>
    </rPh>
    <rPh sb="12" eb="14">
      <t>チョウサ</t>
    </rPh>
    <phoneticPr fontId="1"/>
  </si>
  <si>
    <t>　DELL見積確認</t>
    <rPh sb="5" eb="7">
      <t>ミツ</t>
    </rPh>
    <rPh sb="7" eb="9">
      <t>カクニン</t>
    </rPh>
    <phoneticPr fontId="1"/>
  </si>
  <si>
    <t>　リコー電話機見積確認</t>
    <rPh sb="4" eb="7">
      <t>デンワキ</t>
    </rPh>
    <rPh sb="7" eb="9">
      <t>ミツモリ</t>
    </rPh>
    <rPh sb="9" eb="11">
      <t>カクニン</t>
    </rPh>
    <phoneticPr fontId="1"/>
  </si>
  <si>
    <t>　Crownプロテクト改修</t>
    <rPh sb="11" eb="13">
      <t>カイシュウ</t>
    </rPh>
    <phoneticPr fontId="1"/>
  </si>
  <si>
    <t xml:space="preserve"> 【教育】PC設定　経理ソフトインストール</t>
    <rPh sb="2" eb="4">
      <t>キョウイク</t>
    </rPh>
    <rPh sb="7" eb="9">
      <t>セッテイ</t>
    </rPh>
    <rPh sb="10" eb="12">
      <t>ケイリ</t>
    </rPh>
    <phoneticPr fontId="5"/>
  </si>
  <si>
    <t xml:space="preserve"> 【開発】CADグループ分け状況確認</t>
    <rPh sb="12" eb="13">
      <t>ワ</t>
    </rPh>
    <rPh sb="14" eb="16">
      <t>ジョウキョウ</t>
    </rPh>
    <rPh sb="16" eb="18">
      <t>カクニン</t>
    </rPh>
    <phoneticPr fontId="5"/>
  </si>
  <si>
    <t xml:space="preserve"> 【開発】Forum8稟議提出</t>
    <rPh sb="11" eb="13">
      <t>リンギ</t>
    </rPh>
    <rPh sb="13" eb="15">
      <t>テイシュツ</t>
    </rPh>
    <phoneticPr fontId="5"/>
  </si>
  <si>
    <t xml:space="preserve"> 【教育】PC設定・操作説明</t>
    <rPh sb="2" eb="4">
      <t>キョウイク</t>
    </rPh>
    <rPh sb="7" eb="9">
      <t>セッテイ</t>
    </rPh>
    <rPh sb="10" eb="12">
      <t>ソウサ</t>
    </rPh>
    <rPh sb="12" eb="14">
      <t>セツメイ</t>
    </rPh>
    <phoneticPr fontId="5"/>
  </si>
  <si>
    <t xml:space="preserve"> 【開発】HP管理ソフト　ﾊﾞｰｼﾞｮﾝｱｯﾌﾟ対応　ｸﾞﾙｰﾌﾟ</t>
    <rPh sb="7" eb="9">
      <t>カンリ</t>
    </rPh>
    <rPh sb="24" eb="26">
      <t>タイオウ</t>
    </rPh>
    <phoneticPr fontId="5"/>
  </si>
  <si>
    <t xml:space="preserve"> 【開発】サーバー暗号化SSL証明書更新　依頼</t>
    <rPh sb="21" eb="23">
      <t>イライ</t>
    </rPh>
    <phoneticPr fontId="5"/>
  </si>
  <si>
    <t xml:space="preserve"> 【教育】PC操作等</t>
    <rPh sb="2" eb="4">
      <t>キョウイク</t>
    </rPh>
    <rPh sb="7" eb="9">
      <t>ソウサ</t>
    </rPh>
    <rPh sb="9" eb="10">
      <t>トウ</t>
    </rPh>
    <phoneticPr fontId="5"/>
  </si>
  <si>
    <t xml:space="preserve"> 【開発】AI開発　生成AI開発　開発ｱｶｳﾝﾄ作成</t>
    <rPh sb="17" eb="19">
      <t>カイハツ</t>
    </rPh>
    <rPh sb="24" eb="26">
      <t>サクセイ</t>
    </rPh>
    <phoneticPr fontId="5"/>
  </si>
  <si>
    <t xml:space="preserve"> 【開発】AI開発　生成AI開発　開発環境構築</t>
    <rPh sb="17" eb="19">
      <t>カイハツ</t>
    </rPh>
    <rPh sb="19" eb="21">
      <t>カンキョウ</t>
    </rPh>
    <rPh sb="21" eb="23">
      <t>コウチク</t>
    </rPh>
    <phoneticPr fontId="5"/>
  </si>
  <si>
    <t xml:space="preserve"> 【開発】AI開発　生成AI開発　ﾗｲｾﾝｽ調査</t>
    <rPh sb="22" eb="24">
      <t>チョウサ</t>
    </rPh>
    <phoneticPr fontId="5"/>
  </si>
  <si>
    <t>【NPO】営業配布用　一般チラシ作成</t>
    <rPh sb="5" eb="7">
      <t>エイギョウ</t>
    </rPh>
    <rPh sb="7" eb="10">
      <t>ハイフヨウ</t>
    </rPh>
    <rPh sb="11" eb="13">
      <t>イッパン</t>
    </rPh>
    <rPh sb="16" eb="18">
      <t>サクセイ</t>
    </rPh>
    <phoneticPr fontId="5"/>
  </si>
  <si>
    <t>【NPO】CPD申請　（HP・各種チラシ確認のうえ</t>
    <rPh sb="8" eb="10">
      <t>シンセイ</t>
    </rPh>
    <rPh sb="15" eb="17">
      <t>カクシュ</t>
    </rPh>
    <rPh sb="20" eb="22">
      <t>カクニン</t>
    </rPh>
    <phoneticPr fontId="5"/>
  </si>
  <si>
    <t>【NPO】セミナー予定　Outlook登録</t>
    <rPh sb="9" eb="11">
      <t>ヨテイ</t>
    </rPh>
    <rPh sb="19" eb="21">
      <t>トウロク</t>
    </rPh>
    <phoneticPr fontId="5"/>
  </si>
  <si>
    <t>【NPO】横田講師　5月ｾﾐﾅｰ飛行機予約（前日入り</t>
    <rPh sb="5" eb="7">
      <t>ヨコタ</t>
    </rPh>
    <rPh sb="7" eb="9">
      <t>コウシ</t>
    </rPh>
    <rPh sb="11" eb="12">
      <t>ガツ</t>
    </rPh>
    <rPh sb="16" eb="19">
      <t>ヒコウキ</t>
    </rPh>
    <rPh sb="19" eb="21">
      <t>ヨヤク</t>
    </rPh>
    <rPh sb="22" eb="24">
      <t>ゼンジツ</t>
    </rPh>
    <rPh sb="24" eb="25">
      <t>イ</t>
    </rPh>
    <phoneticPr fontId="5"/>
  </si>
  <si>
    <t>【NPO】NPOのHP 申込ほか各種申請画面テスト</t>
  </si>
  <si>
    <t>【NPO】PPTスライド動画　ｽｹｼﾞｭｰﾙ一覧ぼやけ修正</t>
    <phoneticPr fontId="5"/>
  </si>
  <si>
    <t>　→テスト問題なければ、HP公開（告知は2月末より</t>
    <rPh sb="17" eb="19">
      <t>コクチ</t>
    </rPh>
    <rPh sb="21" eb="23">
      <t>ガツマツ</t>
    </rPh>
    <phoneticPr fontId="5"/>
  </si>
  <si>
    <t>【NPO】PPTスライド　全体確認/修正</t>
    <rPh sb="13" eb="15">
      <t>ゼンタイ</t>
    </rPh>
    <rPh sb="15" eb="17">
      <t>カクニン</t>
    </rPh>
    <rPh sb="18" eb="20">
      <t>シュウセイ</t>
    </rPh>
    <phoneticPr fontId="5"/>
  </si>
  <si>
    <t>【NPO】Webセミナー　科目別チラシ　pdf化</t>
    <rPh sb="13" eb="15">
      <t>カモク</t>
    </rPh>
    <rPh sb="15" eb="16">
      <t>ベツ</t>
    </rPh>
    <rPh sb="23" eb="24">
      <t>カ</t>
    </rPh>
    <phoneticPr fontId="5"/>
  </si>
  <si>
    <t>【総研】社内セミナー予定　講師各位調整</t>
  </si>
  <si>
    <t>【NPO】zoom登録（51科目分MTG設定予約）</t>
    <rPh sb="9" eb="11">
      <t>トウロク</t>
    </rPh>
    <rPh sb="14" eb="16">
      <t>カモク</t>
    </rPh>
    <rPh sb="16" eb="17">
      <t>ブン</t>
    </rPh>
    <rPh sb="20" eb="22">
      <t>セッテイ</t>
    </rPh>
    <rPh sb="22" eb="24">
      <t>ヨヤク</t>
    </rPh>
    <phoneticPr fontId="5"/>
  </si>
  <si>
    <t>　実績会議</t>
    <rPh sb="1" eb="5">
      <t>ジッセキカイギ</t>
    </rPh>
    <phoneticPr fontId="1"/>
  </si>
  <si>
    <t>　面談対応</t>
    <rPh sb="1" eb="5">
      <t>メンダンタイオウ</t>
    </rPh>
    <phoneticPr fontId="1"/>
  </si>
  <si>
    <t xml:space="preserve"> テレワーク改訂説明資料作成</t>
    <rPh sb="6" eb="8">
      <t>カイテイ</t>
    </rPh>
    <rPh sb="8" eb="12">
      <t>セツメイシリョウ</t>
    </rPh>
    <rPh sb="12" eb="14">
      <t>サクセイ</t>
    </rPh>
    <phoneticPr fontId="1"/>
  </si>
  <si>
    <t>　大分大学共同研究：検討</t>
    <rPh sb="1" eb="9">
      <t>オオイタダイガクキョウドウケンキュウ</t>
    </rPh>
    <rPh sb="10" eb="12">
      <t>ケントウ</t>
    </rPh>
    <phoneticPr fontId="1"/>
  </si>
  <si>
    <t>　TV会議システム：状況確認</t>
    <rPh sb="3" eb="5">
      <t>カイギ</t>
    </rPh>
    <rPh sb="10" eb="14">
      <t>ジョウキョウカクニン</t>
    </rPh>
    <phoneticPr fontId="1"/>
  </si>
  <si>
    <t>　新別府事務所：検討</t>
    <rPh sb="1" eb="7">
      <t>シンベップジムショ</t>
    </rPh>
    <rPh sb="8" eb="10">
      <t>ケントウ</t>
    </rPh>
    <phoneticPr fontId="1"/>
  </si>
  <si>
    <t>　大分大学共同研究：検討・資料作成</t>
    <rPh sb="1" eb="9">
      <t>オオイタダイガクキョウドウケンキュウ</t>
    </rPh>
    <rPh sb="10" eb="12">
      <t>ケントウ</t>
    </rPh>
    <rPh sb="13" eb="17">
      <t>シリョウサクセイ</t>
    </rPh>
    <phoneticPr fontId="1"/>
  </si>
  <si>
    <t xml:space="preserve"> 【開発】 AI学習：開発環境準備</t>
    <rPh sb="8" eb="10">
      <t>ガクシュウ</t>
    </rPh>
    <rPh sb="11" eb="15">
      <t>カイハツカンキョウ</t>
    </rPh>
    <rPh sb="15" eb="17">
      <t>ジュンビ</t>
    </rPh>
    <phoneticPr fontId="1"/>
  </si>
  <si>
    <t xml:space="preserve"> 【教育】ネッワーク　WAN</t>
    <phoneticPr fontId="5"/>
  </si>
  <si>
    <t xml:space="preserve"> 【教育】ネッワーク　VPN：拠点間通信（前半）</t>
    <phoneticPr fontId="5"/>
  </si>
  <si>
    <t xml:space="preserve"> 【会議】管理職養成セミナー</t>
    <phoneticPr fontId="5"/>
  </si>
  <si>
    <t xml:space="preserve"> 【開発】HP運用管理確認　纏め</t>
    <rPh sb="14" eb="15">
      <t>マト</t>
    </rPh>
    <phoneticPr fontId="5"/>
  </si>
  <si>
    <t xml:space="preserve"> 【開発】HP運用管理確認　纏め</t>
    <rPh sb="2" eb="4">
      <t>カイハツ</t>
    </rPh>
    <rPh sb="7" eb="9">
      <t>ウンヨウ</t>
    </rPh>
    <rPh sb="9" eb="11">
      <t>カンリ</t>
    </rPh>
    <rPh sb="11" eb="13">
      <t>カクニン</t>
    </rPh>
    <rPh sb="14" eb="15">
      <t>マト</t>
    </rPh>
    <phoneticPr fontId="5"/>
  </si>
  <si>
    <t xml:space="preserve"> 【開発】申請システム　展開準備</t>
    <rPh sb="5" eb="7">
      <t>シンセイ</t>
    </rPh>
    <rPh sb="12" eb="14">
      <t>テンカイ</t>
    </rPh>
    <rPh sb="14" eb="16">
      <t>ジュンビ</t>
    </rPh>
    <phoneticPr fontId="5"/>
  </si>
  <si>
    <t xml:space="preserve"> 【管業】実績会議準備</t>
    <rPh sb="5" eb="9">
      <t>ジッセキカイギ</t>
    </rPh>
    <rPh sb="9" eb="11">
      <t>ジュンビ</t>
    </rPh>
    <phoneticPr fontId="5"/>
  </si>
  <si>
    <t xml:space="preserve"> 【開発】AI開発　生成AI開発学習　開発環境構築</t>
    <rPh sb="16" eb="18">
      <t>ガクシュウ</t>
    </rPh>
    <rPh sb="19" eb="21">
      <t>カイハツ</t>
    </rPh>
    <rPh sb="21" eb="23">
      <t>カンキョウ</t>
    </rPh>
    <rPh sb="23" eb="25">
      <t>コウチク</t>
    </rPh>
    <phoneticPr fontId="5"/>
  </si>
  <si>
    <t xml:space="preserve"> 【開発】AI開発　生成AI開発学習　ﾗｲｾﾝｽ調査</t>
    <rPh sb="16" eb="18">
      <t>ガクシュウ</t>
    </rPh>
    <rPh sb="24" eb="26">
      <t>チョウサ</t>
    </rPh>
    <phoneticPr fontId="5"/>
  </si>
  <si>
    <t xml:space="preserve"> 【開発】 管理室案件精査</t>
    <rPh sb="6" eb="9">
      <t>カンリシツ</t>
    </rPh>
    <rPh sb="9" eb="13">
      <t>アンケンセイサ</t>
    </rPh>
    <phoneticPr fontId="1"/>
  </si>
  <si>
    <t>　非常食：納品状況確認</t>
    <rPh sb="1" eb="4">
      <t>ヒジョウショク</t>
    </rPh>
    <rPh sb="5" eb="9">
      <t>ノウヒンジョウキョウ</t>
    </rPh>
    <rPh sb="9" eb="11">
      <t>カクニン</t>
    </rPh>
    <phoneticPr fontId="1"/>
  </si>
  <si>
    <t>　商標登録：手続き確認</t>
    <rPh sb="1" eb="5">
      <t>ショウヒョウトウロク</t>
    </rPh>
    <rPh sb="6" eb="8">
      <t>テツヅ</t>
    </rPh>
    <rPh sb="9" eb="11">
      <t>カクニン</t>
    </rPh>
    <phoneticPr fontId="1"/>
  </si>
  <si>
    <t>【NPO】セミナー個別/コースページ確認・公開準備</t>
    <phoneticPr fontId="5"/>
  </si>
  <si>
    <t>【NPO】セミナーCPD申請　完了したものを随時報告</t>
  </si>
  <si>
    <t>【管理】職安　登録更新作業</t>
  </si>
  <si>
    <t>【NPO】CPD申請　エラー箇所訂正・申請再開</t>
  </si>
  <si>
    <t>【NPO】山本講師　契約書　作成</t>
  </si>
  <si>
    <t xml:space="preserve"> 【管業】実績会議開催有無通知</t>
    <rPh sb="5" eb="9">
      <t>ジッセキカイギ</t>
    </rPh>
    <rPh sb="9" eb="11">
      <t>カイサイ</t>
    </rPh>
    <rPh sb="11" eb="13">
      <t>ウム</t>
    </rPh>
    <rPh sb="13" eb="15">
      <t>ツウチ</t>
    </rPh>
    <phoneticPr fontId="1"/>
  </si>
  <si>
    <t xml:space="preserve">  出張報告書作成</t>
    <rPh sb="2" eb="9">
      <t>シュッチョウホウコクショサクセイ</t>
    </rPh>
    <phoneticPr fontId="1"/>
  </si>
  <si>
    <t>　別府駅：資料取り纏め</t>
    <rPh sb="1" eb="4">
      <t>ベップエキ</t>
    </rPh>
    <rPh sb="5" eb="8">
      <t>シリョウト</t>
    </rPh>
    <rPh sb="9" eb="10">
      <t>マト</t>
    </rPh>
    <phoneticPr fontId="1"/>
  </si>
  <si>
    <t xml:space="preserve"> 【教育】ネッワーク　IPアドレスについて2</t>
    <phoneticPr fontId="5"/>
  </si>
  <si>
    <t xml:space="preserve"> 【教育】ネッワーク　クラウドサーバーについて</t>
    <phoneticPr fontId="5"/>
  </si>
  <si>
    <t xml:space="preserve"> 【教育】ネッワーク　社内サーバーについて</t>
    <rPh sb="11" eb="13">
      <t>シャナイ</t>
    </rPh>
    <phoneticPr fontId="5"/>
  </si>
  <si>
    <t xml:space="preserve"> 【教育】ネッワーク　プリンターについて</t>
    <phoneticPr fontId="5"/>
  </si>
  <si>
    <t xml:space="preserve"> 【開発】大分サーバー復旧対応</t>
    <rPh sb="2" eb="4">
      <t>カイハツ</t>
    </rPh>
    <rPh sb="5" eb="7">
      <t>オオイタ</t>
    </rPh>
    <rPh sb="11" eb="13">
      <t>フッキュウ</t>
    </rPh>
    <rPh sb="13" eb="15">
      <t>タイオウ</t>
    </rPh>
    <phoneticPr fontId="5"/>
  </si>
  <si>
    <t xml:space="preserve"> 【開発】HP改修案作成</t>
    <rPh sb="7" eb="9">
      <t>カイシュウ</t>
    </rPh>
    <rPh sb="9" eb="10">
      <t>アン</t>
    </rPh>
    <rPh sb="10" eb="12">
      <t>サクセイ</t>
    </rPh>
    <phoneticPr fontId="5"/>
  </si>
  <si>
    <t xml:space="preserve"> 【開発】HP改修案作成</t>
    <phoneticPr fontId="5"/>
  </si>
  <si>
    <t xml:space="preserve"> 【開発】HP改修案作成</t>
    <phoneticPr fontId="5"/>
  </si>
  <si>
    <t xml:space="preserve"> 【開発】経理請求書　RPAフロー作成</t>
    <phoneticPr fontId="5"/>
  </si>
  <si>
    <t xml:space="preserve"> 【管業】実績会議開催有無通知案内</t>
    <rPh sb="5" eb="9">
      <t>ジッセキカイギ</t>
    </rPh>
    <rPh sb="9" eb="13">
      <t>カイサイウム</t>
    </rPh>
    <rPh sb="13" eb="15">
      <t>ツウチ</t>
    </rPh>
    <rPh sb="15" eb="17">
      <t>アンナイ</t>
    </rPh>
    <phoneticPr fontId="5"/>
  </si>
  <si>
    <t>【NPO】セミナーCPD申請　差し戻し分　再提出</t>
  </si>
  <si>
    <t>【NPO】セミナーCPD申請　完了に応じてコースページ編集</t>
    <rPh sb="15" eb="17">
      <t>カンリョウ</t>
    </rPh>
    <rPh sb="18" eb="19">
      <t>オウ</t>
    </rPh>
    <rPh sb="27" eb="29">
      <t>ヘンシュウ</t>
    </rPh>
    <phoneticPr fontId="5"/>
  </si>
  <si>
    <t>【NPO】セミナーCPD申請　RPA申請/エラー時対応</t>
    <rPh sb="18" eb="20">
      <t>シンセイ</t>
    </rPh>
    <rPh sb="24" eb="25">
      <t>ジ</t>
    </rPh>
    <rPh sb="25" eb="27">
      <t>タイオウ</t>
    </rPh>
    <phoneticPr fontId="5"/>
  </si>
  <si>
    <t>【管理】車検・EV書類等　整理・ファイリング</t>
  </si>
  <si>
    <t>【NPO】横田さん飛行機代立替　精算</t>
    <rPh sb="5" eb="7">
      <t>ヨコタ</t>
    </rPh>
    <rPh sb="9" eb="12">
      <t>ヒコウキ</t>
    </rPh>
    <rPh sb="12" eb="13">
      <t>ダイ</t>
    </rPh>
    <rPh sb="13" eb="15">
      <t>タテカエ</t>
    </rPh>
    <rPh sb="16" eb="18">
      <t>セイサン</t>
    </rPh>
    <phoneticPr fontId="5"/>
  </si>
  <si>
    <t>【NPO】セミナー情報管理ツール設定再確認</t>
    <phoneticPr fontId="5"/>
  </si>
  <si>
    <t>【開発】　社内ノートPC型番確認・商品開発室報告</t>
    <rPh sb="17" eb="19">
      <t>ショウヒン</t>
    </rPh>
    <rPh sb="19" eb="22">
      <t>カイハツシツ</t>
    </rPh>
    <rPh sb="22" eb="24">
      <t>ホウコク</t>
    </rPh>
    <phoneticPr fontId="5"/>
  </si>
  <si>
    <t>【NPO】HP講師紹介　情報登録（社内講師・追加情報</t>
  </si>
  <si>
    <t xml:space="preserve"> 【教育】Windows自動インストール</t>
    <rPh sb="12" eb="14">
      <t>ジドウ</t>
    </rPh>
    <phoneticPr fontId="5"/>
  </si>
  <si>
    <t xml:space="preserve"> 【教育】Windows自動インストール</t>
    <phoneticPr fontId="5"/>
  </si>
  <si>
    <t xml:space="preserve"> 【開発】申請システム　展開準備</t>
    <rPh sb="2" eb="4">
      <t>カイハツ</t>
    </rPh>
    <rPh sb="5" eb="7">
      <t>シンセイ</t>
    </rPh>
    <rPh sb="12" eb="14">
      <t>テンカイ</t>
    </rPh>
    <rPh sb="14" eb="16">
      <t>ジュンビ</t>
    </rPh>
    <phoneticPr fontId="5"/>
  </si>
  <si>
    <t xml:space="preserve"> 【開発】申請システム　展開準備</t>
    <phoneticPr fontId="5"/>
  </si>
  <si>
    <t xml:space="preserve"> 【開発】ｾﾐﾅｰノートPC　ﾒﾝﾃﾅﾝｽ</t>
    <rPh sb="2" eb="4">
      <t>カイハツ</t>
    </rPh>
    <phoneticPr fontId="5"/>
  </si>
  <si>
    <t xml:space="preserve"> 【管業】実績会議開催有無通知案内</t>
    <phoneticPr fontId="5"/>
  </si>
  <si>
    <t xml:space="preserve"> 【定例】業務報告、髙陽・徳田進捗状況確認</t>
    <rPh sb="13" eb="15">
      <t>トクダ</t>
    </rPh>
    <rPh sb="19" eb="21">
      <t>カクニン</t>
    </rPh>
    <phoneticPr fontId="5"/>
  </si>
  <si>
    <t>【NPO】ｸﾗｳﾝ社員用　セミナー参加告知資料作成</t>
  </si>
  <si>
    <t>【NPO】HP講師紹介　情報登録・公開・表示確認（続き</t>
  </si>
  <si>
    <t>【NPO】可能であれば　セミナー案内メールマジック発信</t>
    <phoneticPr fontId="5"/>
  </si>
  <si>
    <t>【NPO】セミナー案内メールマジック発信</t>
    <phoneticPr fontId="5"/>
  </si>
  <si>
    <t>【NPO】山本講師　セミナーテキスト内容確認・修正点相談</t>
    <rPh sb="5" eb="7">
      <t>ヤマモト</t>
    </rPh>
    <rPh sb="7" eb="9">
      <t>コウシ</t>
    </rPh>
    <rPh sb="18" eb="20">
      <t>ナイヨウ</t>
    </rPh>
    <rPh sb="20" eb="22">
      <t>カクニン</t>
    </rPh>
    <rPh sb="23" eb="25">
      <t>シュウセイ</t>
    </rPh>
    <rPh sb="25" eb="26">
      <t>テン</t>
    </rPh>
    <rPh sb="26" eb="28">
      <t>ソウダン</t>
    </rPh>
    <phoneticPr fontId="5"/>
  </si>
  <si>
    <t>【開発】出走情報　変更ないか確認</t>
    <rPh sb="9" eb="11">
      <t>ヘンコウ</t>
    </rPh>
    <rPh sb="14" eb="16">
      <t>カクニン</t>
    </rPh>
    <phoneticPr fontId="5"/>
  </si>
  <si>
    <t>【総研】社内セミナー　講師各位予定共有と調整</t>
  </si>
  <si>
    <t>【NPO】2025年度　51科目のzoom登録</t>
    <rPh sb="9" eb="10">
      <t>ネン</t>
    </rPh>
    <rPh sb="10" eb="11">
      <t>ド</t>
    </rPh>
    <rPh sb="14" eb="16">
      <t>カモク</t>
    </rPh>
    <rPh sb="21" eb="23">
      <t>トウロク</t>
    </rPh>
    <phoneticPr fontId="5"/>
  </si>
  <si>
    <t>【開発】出走情報　更新</t>
    <rPh sb="1" eb="3">
      <t>カイハツ</t>
    </rPh>
    <rPh sb="4" eb="6">
      <t>シュッソウ</t>
    </rPh>
    <rPh sb="6" eb="8">
      <t>ジョウホウ</t>
    </rPh>
    <rPh sb="9" eb="11">
      <t>コウシン</t>
    </rPh>
    <phoneticPr fontId="5"/>
  </si>
  <si>
    <t>【管理】調教報告書　各調教師へFAX</t>
    <rPh sb="10" eb="14">
      <t>カクチョウキョウシ</t>
    </rPh>
    <phoneticPr fontId="5"/>
  </si>
  <si>
    <t>【NPO】CPD再申請　3科目分　実施</t>
    <rPh sb="8" eb="11">
      <t>サイシンセイ</t>
    </rPh>
    <rPh sb="13" eb="15">
      <t>カモク</t>
    </rPh>
    <rPh sb="15" eb="16">
      <t>ブン</t>
    </rPh>
    <rPh sb="17" eb="19">
      <t>ジッシ</t>
    </rPh>
    <phoneticPr fontId="5"/>
  </si>
  <si>
    <t>【開発】　業務応援</t>
  </si>
  <si>
    <t>【NPO】zoom登録（51科目分MTG設定予約）</t>
  </si>
  <si>
    <t>【NPO】3/10発信予定　開催告知ﾒｰﾙﾏｼﾞｯｸ作成・確認</t>
  </si>
  <si>
    <t>【NPO】セミナー情報管理ツール設定再確認</t>
  </si>
  <si>
    <t>【開発】Googleアナリティクスレポート　2月分</t>
  </si>
  <si>
    <t>【NPO】ｸﾗｳﾝ社員用　セミナー参加告知資料　完成</t>
  </si>
  <si>
    <t>【開発】出走情報　変更ないか確認</t>
  </si>
  <si>
    <t>【NPO】NPOのHP 申込み開始告知（NPO・総研HP掲載</t>
  </si>
  <si>
    <t>【NPO】2025年度　セミナーzoom稼働確認</t>
  </si>
  <si>
    <t>【開発】出走情報　更新</t>
  </si>
  <si>
    <t>週次予定の入力・更新・Outlook確認/00進捗管理入力</t>
  </si>
  <si>
    <t>【NPO】セミナーCPD申請　完了したものを報告</t>
  </si>
  <si>
    <t>【NPO】4月前半講師各位　テキスト確認</t>
  </si>
  <si>
    <t>【総研】社内セミナー講師各位　予定確認（特にさいたま</t>
  </si>
  <si>
    <t xml:space="preserve"> 【管業】サーバー（さいたま）チェック</t>
    <phoneticPr fontId="5"/>
  </si>
  <si>
    <t xml:space="preserve"> 【管業】サーバー（NAS/大阪）チェック</t>
    <rPh sb="14" eb="16">
      <t>オオサカ</t>
    </rPh>
    <phoneticPr fontId="5"/>
  </si>
  <si>
    <t xml:space="preserve"> 【管業】サーバー（福岡）チェック</t>
    <rPh sb="10" eb="12">
      <t>フクオカ</t>
    </rPh>
    <phoneticPr fontId="5"/>
  </si>
  <si>
    <t xml:space="preserve"> 【管業】サーバー（大分）チェック</t>
    <rPh sb="10" eb="12">
      <t>オオイタ</t>
    </rPh>
    <phoneticPr fontId="5"/>
  </si>
  <si>
    <t xml:space="preserve"> 【管業】サーバー（SVR）チェック</t>
    <phoneticPr fontId="5"/>
  </si>
  <si>
    <t xml:space="preserve"> 【打合】経理業務改善案</t>
    <rPh sb="2" eb="4">
      <t>ウチアワ</t>
    </rPh>
    <rPh sb="5" eb="9">
      <t>ケイリギョウム</t>
    </rPh>
    <rPh sb="9" eb="12">
      <t>カイゼンアン</t>
    </rPh>
    <phoneticPr fontId="5"/>
  </si>
  <si>
    <t xml:space="preserve"> 【開発】業務引継ぎ確認</t>
    <rPh sb="2" eb="4">
      <t>カイハツ</t>
    </rPh>
    <rPh sb="10" eb="12">
      <t>カクニン</t>
    </rPh>
    <phoneticPr fontId="5"/>
  </si>
  <si>
    <t xml:space="preserve"> 【管業】実績会議資料準備</t>
    <rPh sb="9" eb="11">
      <t>シリョウ</t>
    </rPh>
    <rPh sb="11" eb="13">
      <t>ジュンビ</t>
    </rPh>
    <phoneticPr fontId="5"/>
  </si>
  <si>
    <t xml:space="preserve"> 【打合】業務引継ぎ（予定）</t>
    <rPh sb="2" eb="4">
      <t>ウチアワ</t>
    </rPh>
    <rPh sb="5" eb="7">
      <t>ギョウム</t>
    </rPh>
    <rPh sb="7" eb="9">
      <t>ヒキツ</t>
    </rPh>
    <rPh sb="11" eb="13">
      <t>ヨテイ</t>
    </rPh>
    <phoneticPr fontId="5"/>
  </si>
  <si>
    <t xml:space="preserve"> 【会議】管理職養成セミナー</t>
    <phoneticPr fontId="5"/>
  </si>
  <si>
    <t xml:space="preserve"> 【管業】実績会議開催有通知案内</t>
    <phoneticPr fontId="5"/>
  </si>
  <si>
    <t xml:space="preserve"> 【開発】業務引継ぎ確認</t>
    <phoneticPr fontId="5"/>
  </si>
  <si>
    <t xml:space="preserve"> 【開発】ｾﾐﾅｰPCメンテナンス/発送</t>
    <rPh sb="18" eb="20">
      <t>ハッソウ</t>
    </rPh>
    <phoneticPr fontId="5"/>
  </si>
  <si>
    <t xml:space="preserve"> 【開発】ハードウェアの整備</t>
    <rPh sb="12" eb="14">
      <t>セイビ</t>
    </rPh>
    <phoneticPr fontId="5"/>
  </si>
  <si>
    <t xml:space="preserve"> 【開発】経理請求書　RPAフロー作成　2/8</t>
    <phoneticPr fontId="5"/>
  </si>
  <si>
    <t xml:space="preserve"> 【開発】経理請求書　RPAフロー作成　3/8</t>
    <phoneticPr fontId="5"/>
  </si>
  <si>
    <t xml:space="preserve"> 【開発】開発環境の整備（すべてのモジュール）</t>
    <rPh sb="5" eb="7">
      <t>カイハツ</t>
    </rPh>
    <rPh sb="7" eb="9">
      <t>カンキョウ</t>
    </rPh>
    <rPh sb="10" eb="12">
      <t>セイビ</t>
    </rPh>
    <phoneticPr fontId="5"/>
  </si>
  <si>
    <t xml:space="preserve"> 【開発】経理請求書　RPAフロー作成　1/8</t>
    <phoneticPr fontId="5"/>
  </si>
  <si>
    <t xml:space="preserve"> 【開発】ｾﾐﾅｰPC状況確認</t>
    <rPh sb="11" eb="13">
      <t>ジョウキョウ</t>
    </rPh>
    <rPh sb="13" eb="15">
      <t>カクニン</t>
    </rPh>
    <phoneticPr fontId="5"/>
  </si>
  <si>
    <t xml:space="preserve"> 【開発】申請システム開発環境確認</t>
    <rPh sb="5" eb="7">
      <t>シンセイ</t>
    </rPh>
    <rPh sb="11" eb="13">
      <t>カイハツ</t>
    </rPh>
    <rPh sb="13" eb="15">
      <t>カンキョウ</t>
    </rPh>
    <rPh sb="15" eb="17">
      <t>カクニン</t>
    </rPh>
    <phoneticPr fontId="5"/>
  </si>
  <si>
    <t xml:space="preserve"> 【開発】AI開発　生成AI開発学習</t>
    <rPh sb="16" eb="18">
      <t>ガクシュウ</t>
    </rPh>
    <phoneticPr fontId="5"/>
  </si>
  <si>
    <t xml:space="preserve"> 【定例】業務報告、髙陽進捗状況確認</t>
    <rPh sb="12" eb="14">
      <t>シンチョク</t>
    </rPh>
    <rPh sb="16" eb="18">
      <t>カクニン</t>
    </rPh>
    <phoneticPr fontId="5"/>
  </si>
  <si>
    <t>【NPO】セミナーテキスト　各位テキストの修正箇所確認相談</t>
  </si>
  <si>
    <t>【NPO】Web・社内セミナー　社員申込み募集メール（各法人ごと</t>
  </si>
  <si>
    <t>【NPO】zoom登録（建設業の解説　MTG設定予約）</t>
  </si>
  <si>
    <t>【NPO】ﾒｰﾙﾏｼﾞｯｸ　不着分のアドレス整理・大臣入力</t>
  </si>
  <si>
    <t>【NPO】セミナー申込対応</t>
  </si>
  <si>
    <t>【管理】個人実績評価　作成（実績評価/来期目標①</t>
  </si>
  <si>
    <t>【開発】出走情報　更新16時過ぎ</t>
  </si>
  <si>
    <t>【NPO】SNS掲載依頼用　画像・キャプション　作成</t>
  </si>
  <si>
    <t>【NPO】4月前半講師各位（社外）　テキスト確認ﾒｰﾙ</t>
  </si>
  <si>
    <t>【管理】個人実績評価　作成（来期目標②→面談予定確認</t>
  </si>
  <si>
    <t>【NPO】完全オンライン講師(4,5月)　リハーサル日程調整</t>
  </si>
  <si>
    <t>【NPO】セミナーコースページ編集（CPD承認済み表記</t>
  </si>
  <si>
    <t>【NPO】（HP更新後）開催告知ﾒｰﾙﾏｼﾞｯｸ発信</t>
  </si>
  <si>
    <t xml:space="preserve"> 【引継】業務確認</t>
    <phoneticPr fontId="5"/>
  </si>
  <si>
    <t xml:space="preserve"> 【引継】業務確認</t>
  </si>
  <si>
    <t xml:space="preserve"> 【引継】開発環境の整備（すべてのモジュール）</t>
    <phoneticPr fontId="5"/>
  </si>
  <si>
    <t xml:space="preserve"> 【引継】テレワークサービス　MACアドレス収集</t>
    <rPh sb="2" eb="4">
      <t>ヒキツ</t>
    </rPh>
    <rPh sb="22" eb="24">
      <t>シュウシュウ</t>
    </rPh>
    <phoneticPr fontId="5"/>
  </si>
  <si>
    <t xml:space="preserve"> 【引継】テレワークサービス　申込</t>
    <rPh sb="2" eb="4">
      <t>ヒキツ</t>
    </rPh>
    <rPh sb="15" eb="17">
      <t>モウシコミ</t>
    </rPh>
    <phoneticPr fontId="5"/>
  </si>
  <si>
    <t xml:space="preserve"> 【開発】チャットボットツール検討</t>
    <phoneticPr fontId="5"/>
  </si>
  <si>
    <t xml:space="preserve"> 【開発】タスク管理ツール検討</t>
    <phoneticPr fontId="5"/>
  </si>
  <si>
    <t xml:space="preserve"> 【引継】テレワークサービス　案内通知</t>
    <rPh sb="15" eb="19">
      <t>アンナイツウチ</t>
    </rPh>
    <phoneticPr fontId="5"/>
  </si>
  <si>
    <t xml:space="preserve"> 【開発】Zoom用カメラ選定</t>
    <phoneticPr fontId="5"/>
  </si>
  <si>
    <t xml:space="preserve"> 【開発】大分サーバー復旧対応　再設定</t>
    <phoneticPr fontId="5"/>
  </si>
  <si>
    <t xml:space="preserve"> 【開発】申請システム　PG整理</t>
    <phoneticPr fontId="5"/>
  </si>
  <si>
    <t xml:space="preserve"> 【開発】HP改修指導　ｸﾞﾙｰﾌﾟ間移動</t>
    <rPh sb="7" eb="9">
      <t>カイシュウ</t>
    </rPh>
    <rPh sb="9" eb="11">
      <t>シドウ</t>
    </rPh>
    <rPh sb="18" eb="19">
      <t>カン</t>
    </rPh>
    <rPh sb="19" eb="21">
      <t>イドウ</t>
    </rPh>
    <phoneticPr fontId="5"/>
  </si>
  <si>
    <t>【NPO】セントラル　見積書提出予定</t>
  </si>
  <si>
    <t>【NPO】NPOｾﾐﾅｰ　広報用電話営業の文章作成</t>
  </si>
  <si>
    <t>【NPO】松井芳彦さん分　建設コン協会再申請</t>
  </si>
  <si>
    <t>【開発】　業務応援（産駒など</t>
  </si>
  <si>
    <t xml:space="preserve"> 【開発】タスク管理ツール資料作成</t>
    <rPh sb="13" eb="15">
      <t>シリョウ</t>
    </rPh>
    <rPh sb="15" eb="17">
      <t>サクセイ</t>
    </rPh>
    <phoneticPr fontId="5"/>
  </si>
  <si>
    <t xml:space="preserve"> 【開発】チャットボット調査作成</t>
    <rPh sb="2" eb="4">
      <t>カイハツ</t>
    </rPh>
    <rPh sb="12" eb="14">
      <t>チョウサ</t>
    </rPh>
    <rPh sb="14" eb="16">
      <t>サクセイ</t>
    </rPh>
    <phoneticPr fontId="5"/>
  </si>
  <si>
    <t xml:space="preserve"> 【開発】タスク管理ツール調査</t>
    <phoneticPr fontId="5"/>
  </si>
  <si>
    <t xml:space="preserve"> 【開発】チャットボット調査</t>
    <phoneticPr fontId="5"/>
  </si>
  <si>
    <t xml:space="preserve"> 【開発】Zoomカメラ、タスクツール状況</t>
    <rPh sb="19" eb="21">
      <t>ジョウキョウ</t>
    </rPh>
    <phoneticPr fontId="5"/>
  </si>
  <si>
    <t xml:space="preserve"> 【引継】テレワークサービス　通知準備</t>
    <phoneticPr fontId="5"/>
  </si>
  <si>
    <t xml:space="preserve"> 【引継】テレワークサービス　インストール手順作成</t>
    <rPh sb="21" eb="23">
      <t>テジュン</t>
    </rPh>
    <rPh sb="23" eb="25">
      <t>サクセイ</t>
    </rPh>
    <phoneticPr fontId="5"/>
  </si>
  <si>
    <t xml:space="preserve"> 【引継】テレワークサービス　テレワーク設定資料修正</t>
    <rPh sb="20" eb="22">
      <t>セッテイ</t>
    </rPh>
    <rPh sb="22" eb="24">
      <t>シリョウ</t>
    </rPh>
    <rPh sb="24" eb="26">
      <t>シュウセイ</t>
    </rPh>
    <phoneticPr fontId="5"/>
  </si>
  <si>
    <t xml:space="preserve"> 【開発】ｸﾞﾙｰﾌﾟ間移動改修　環境準備</t>
    <rPh sb="17" eb="19">
      <t>カンキョウ</t>
    </rPh>
    <rPh sb="19" eb="21">
      <t>ジュンビ</t>
    </rPh>
    <phoneticPr fontId="5"/>
  </si>
  <si>
    <t xml:space="preserve"> 【引継】テレワークサービス　社内PC登録</t>
    <rPh sb="15" eb="17">
      <t>シャナイ</t>
    </rPh>
    <rPh sb="19" eb="21">
      <t>トウロク</t>
    </rPh>
    <phoneticPr fontId="5"/>
  </si>
  <si>
    <t xml:space="preserve"> 【管業】採用面接対応</t>
    <rPh sb="2" eb="3">
      <t>カン</t>
    </rPh>
    <rPh sb="3" eb="4">
      <t>ギョウ</t>
    </rPh>
    <rPh sb="5" eb="7">
      <t>サイヨウ</t>
    </rPh>
    <rPh sb="7" eb="9">
      <t>メンセツ</t>
    </rPh>
    <rPh sb="9" eb="11">
      <t>タイオウ</t>
    </rPh>
    <phoneticPr fontId="5"/>
  </si>
  <si>
    <t>【NPO】NPOｾﾐﾅｰ　電話宛先選定（NPO過去履歴から</t>
  </si>
  <si>
    <t>【NPO】ウンUN　4月号掲載用お知らせ資料作成</t>
  </si>
  <si>
    <t>【NPO】過去セミナー参加企業から電話先絞り込み</t>
  </si>
  <si>
    <t>【管理】個人実績評価　作成（今期の実績、来期目標</t>
  </si>
  <si>
    <t>【NPO】小応接　セミナー開催形式に準備</t>
  </si>
  <si>
    <t>【NPO】大分経理用　講師料支払等の資料作成・送付</t>
  </si>
  <si>
    <t>【開発】業務応援（産駒ほか</t>
  </si>
  <si>
    <t>【NPO】セミナーBitメールエクセル資料：zoom ID記入</t>
  </si>
  <si>
    <t>【NPO】セミナー申込対応（ﾆｭｰｼﾞｪｯｸ等優先的に入れる</t>
  </si>
  <si>
    <t>【NPO】講師請求書、講師料の封筒　事前準備（4,5月まで</t>
  </si>
  <si>
    <t xml:space="preserve"> 【引継】テレワークサービス　設定</t>
    <rPh sb="15" eb="17">
      <t>セッテイ</t>
    </rPh>
    <phoneticPr fontId="5"/>
  </si>
  <si>
    <t xml:space="preserve"> 【引継】テレワークサービス　動作確認</t>
    <rPh sb="15" eb="17">
      <t>ドウサ</t>
    </rPh>
    <rPh sb="17" eb="19">
      <t>カクニン</t>
    </rPh>
    <phoneticPr fontId="5"/>
  </si>
  <si>
    <t xml:space="preserve"> 【教育】HP改修指導　ｸﾞﾙｰﾌﾟ間移動</t>
    <phoneticPr fontId="5"/>
  </si>
  <si>
    <t xml:space="preserve"> 【管業】週間スケジュール作成/集計</t>
    <rPh sb="5" eb="7">
      <t>シュウカン</t>
    </rPh>
    <rPh sb="13" eb="15">
      <t>サクセイ</t>
    </rPh>
    <rPh sb="16" eb="18">
      <t>シュウケイ</t>
    </rPh>
    <phoneticPr fontId="5"/>
  </si>
  <si>
    <t xml:space="preserve"> 【管業】採用面接対応 14:00～</t>
    <rPh sb="2" eb="3">
      <t>カン</t>
    </rPh>
    <rPh sb="3" eb="4">
      <t>ギョウ</t>
    </rPh>
    <rPh sb="5" eb="7">
      <t>サイヨウ</t>
    </rPh>
    <rPh sb="7" eb="9">
      <t>メンセツ</t>
    </rPh>
    <rPh sb="9" eb="11">
      <t>タイオウ</t>
    </rPh>
    <phoneticPr fontId="5"/>
  </si>
  <si>
    <t xml:space="preserve"> 【引継】テレワークサービス　社内案内</t>
    <rPh sb="15" eb="17">
      <t>シャナイ</t>
    </rPh>
    <rPh sb="17" eb="19">
      <t>アンナイ</t>
    </rPh>
    <phoneticPr fontId="5"/>
  </si>
  <si>
    <t xml:space="preserve"> 【開発】大分サーバー設定再開</t>
    <phoneticPr fontId="5"/>
  </si>
  <si>
    <t xml:space="preserve"> 【開発】個人面談　髙陽</t>
    <rPh sb="5" eb="9">
      <t>コジンメンダン</t>
    </rPh>
    <rPh sb="10" eb="12">
      <t>タカヒ</t>
    </rPh>
    <phoneticPr fontId="5"/>
  </si>
  <si>
    <t xml:space="preserve"> 【教育】大阪・埼玉ルータ設定</t>
    <rPh sb="2" eb="4">
      <t>キョウイク</t>
    </rPh>
    <rPh sb="5" eb="7">
      <t>オオサカ</t>
    </rPh>
    <rPh sb="8" eb="10">
      <t>サイタマ</t>
    </rPh>
    <rPh sb="13" eb="15">
      <t>セッテイ</t>
    </rPh>
    <phoneticPr fontId="5"/>
  </si>
  <si>
    <t xml:space="preserve"> 【開発】Zoom用カメラ選定、無線マウス、キーボード</t>
    <phoneticPr fontId="5"/>
  </si>
  <si>
    <t xml:space="preserve"> 【開発】ｸﾞﾙｰﾌﾟ間移動　最終確認</t>
    <rPh sb="11" eb="12">
      <t>カン</t>
    </rPh>
    <rPh sb="12" eb="14">
      <t>イドウ</t>
    </rPh>
    <rPh sb="15" eb="17">
      <t>サイシュウ</t>
    </rPh>
    <rPh sb="17" eb="19">
      <t>カクニン</t>
    </rPh>
    <phoneticPr fontId="5"/>
  </si>
  <si>
    <t xml:space="preserve"> 【開発】タスク管理、チャットボット</t>
    <phoneticPr fontId="5"/>
  </si>
  <si>
    <t>【開発】個人実績評価面談ほか</t>
  </si>
  <si>
    <t>【NPO】講師請求書、講師料の封筒　事前準備（6～9月まで</t>
  </si>
  <si>
    <t>【NPO】管理部　セミナー電話対応の仕方　更新・共有</t>
  </si>
  <si>
    <t>【開発】HP関連・ネットワーク関連業務対応</t>
  </si>
  <si>
    <t>大分出張（移動）</t>
  </si>
  <si>
    <t>【NPO】セミナー申込　対応</t>
  </si>
  <si>
    <t>【NPO】SNS掲載資料　実施相談→キャプション用意</t>
  </si>
  <si>
    <t>【開発】出張中の業務打ち合わせ</t>
  </si>
  <si>
    <t>【NPO】セミナーCPD申請　完了報告（外部講師全員</t>
  </si>
  <si>
    <t>【開発】NPO　メール設定・申込ツール見直し</t>
  </si>
  <si>
    <t>【NPO】三上さん　セミナー業務共有（当日対応について）</t>
  </si>
  <si>
    <t>【NPO】セミナー申込　日次報告</t>
  </si>
  <si>
    <t>【NPO】セミナー申込み　週次締</t>
  </si>
  <si>
    <t>【開発】出走結果報告</t>
  </si>
  <si>
    <t>【NPO】zoomID　エクセル登録　5月以降のセミナー</t>
  </si>
  <si>
    <t>【NPO】Bitﾒｰﾙ送付：4/8セミナー</t>
  </si>
  <si>
    <t>【NPO】Bitﾒｰﾙ送付：4/11セミナー</t>
  </si>
  <si>
    <t>【NPO】4月セミナー　各テキストのHDD保存確認　</t>
  </si>
  <si>
    <t>【NPO】ﾒｰﾙﾏｼﾞｯｸ　新アドレスの設定とテストメール</t>
  </si>
  <si>
    <t>【総研】河野さん　個人実績面談　14時～</t>
  </si>
  <si>
    <t>【NPO】大分経理用　社員申込み資料送付（社内経理</t>
  </si>
  <si>
    <t>【管理】調教報告書2月分　調教師に送付</t>
  </si>
  <si>
    <t>【NPO】zoomID　芳彦さんセミナー分　作成</t>
  </si>
  <si>
    <t>【NPO】5月前半講師各位　テキスト確認</t>
  </si>
  <si>
    <t>【NPO】社員　セミナー参加者　集計</t>
  </si>
  <si>
    <t>【NPO】営業　今年度ｾﾐﾅｰﾁﾗｼについて打ち合わせ 15:30</t>
  </si>
  <si>
    <t xml:space="preserve"> 【引継】テレワークサービス　設定/手順確認/資料作成</t>
    <rPh sb="2" eb="4">
      <t>ヒキツギ</t>
    </rPh>
    <rPh sb="15" eb="17">
      <t>セッテイ</t>
    </rPh>
    <rPh sb="18" eb="20">
      <t>テジュン</t>
    </rPh>
    <rPh sb="20" eb="22">
      <t>カクニン</t>
    </rPh>
    <rPh sb="23" eb="25">
      <t>シリョウ</t>
    </rPh>
    <rPh sb="25" eb="27">
      <t>サクセイ</t>
    </rPh>
    <phoneticPr fontId="5"/>
  </si>
  <si>
    <t xml:space="preserve"> 【問合】管理　プリンター対応　河野取締役</t>
    <rPh sb="2" eb="4">
      <t>トイアワ</t>
    </rPh>
    <rPh sb="5" eb="7">
      <t>カンリ</t>
    </rPh>
    <rPh sb="13" eb="15">
      <t>タイオウ</t>
    </rPh>
    <rPh sb="16" eb="18">
      <t>カワノ</t>
    </rPh>
    <rPh sb="18" eb="21">
      <t>トリシマリヤク</t>
    </rPh>
    <phoneticPr fontId="5"/>
  </si>
  <si>
    <t xml:space="preserve"> 【引継】テレワークサービス　移行対応</t>
    <rPh sb="2" eb="4">
      <t>ヒキツギ</t>
    </rPh>
    <rPh sb="15" eb="17">
      <t>イコウ</t>
    </rPh>
    <rPh sb="17" eb="19">
      <t>タイオウ</t>
    </rPh>
    <phoneticPr fontId="5"/>
  </si>
  <si>
    <t xml:space="preserve"> 【問合】PC、ルータ発送準備</t>
    <rPh sb="11" eb="13">
      <t>ハッソウ</t>
    </rPh>
    <rPh sb="13" eb="15">
      <t>ジュンビ</t>
    </rPh>
    <phoneticPr fontId="5"/>
  </si>
  <si>
    <t xml:space="preserve"> 【引継】電話回線整理</t>
    <phoneticPr fontId="5"/>
  </si>
  <si>
    <t xml:space="preserve"> 【問合】PC設定対応　志保社長用デスクトップ/伊藤社長PC</t>
    <rPh sb="7" eb="9">
      <t>セッテイ</t>
    </rPh>
    <rPh sb="9" eb="11">
      <t>タイオウ</t>
    </rPh>
    <rPh sb="12" eb="16">
      <t>シホシャチョウ</t>
    </rPh>
    <rPh sb="16" eb="17">
      <t>ヨウ</t>
    </rPh>
    <rPh sb="24" eb="28">
      <t>イトウシャチョウ</t>
    </rPh>
    <phoneticPr fontId="5"/>
  </si>
  <si>
    <t xml:space="preserve"> 【問合】チラシデータ再調査</t>
    <rPh sb="11" eb="14">
      <t>サイチョウサ</t>
    </rPh>
    <phoneticPr fontId="5"/>
  </si>
  <si>
    <t xml:space="preserve"> 【開発】NASファームウェア　更新確認</t>
    <rPh sb="16" eb="18">
      <t>コウシン</t>
    </rPh>
    <rPh sb="18" eb="20">
      <t>カクニン</t>
    </rPh>
    <phoneticPr fontId="5"/>
  </si>
  <si>
    <t xml:space="preserve"> 【引継】大阪ルータ説明</t>
    <rPh sb="2" eb="4">
      <t>ヒキツ</t>
    </rPh>
    <rPh sb="5" eb="7">
      <t>オオサカ</t>
    </rPh>
    <rPh sb="10" eb="12">
      <t>セツメイ</t>
    </rPh>
    <phoneticPr fontId="5"/>
  </si>
  <si>
    <t xml:space="preserve"> 【開発】個人評価表作成</t>
    <rPh sb="7" eb="9">
      <t>ヒョウカ</t>
    </rPh>
    <rPh sb="9" eb="10">
      <t>ヒョウ</t>
    </rPh>
    <rPh sb="10" eb="12">
      <t>サクセイ</t>
    </rPh>
    <phoneticPr fontId="5"/>
  </si>
  <si>
    <t xml:space="preserve"> 【開発】ZoomAI　トライアル評価</t>
    <rPh sb="17" eb="19">
      <t>ヒョウカ</t>
    </rPh>
    <phoneticPr fontId="5"/>
  </si>
  <si>
    <t xml:space="preserve"> 【開発】3日と4日の体制確認</t>
    <rPh sb="6" eb="7">
      <t>ニチ</t>
    </rPh>
    <rPh sb="9" eb="10">
      <t>ニチ</t>
    </rPh>
    <rPh sb="11" eb="13">
      <t>タイセイ</t>
    </rPh>
    <rPh sb="13" eb="15">
      <t>カクニン</t>
    </rPh>
    <phoneticPr fontId="5"/>
  </si>
  <si>
    <t>【管理】調教報告書　3月分作成（移動情報入力→Excel</t>
  </si>
  <si>
    <t>【NPO】SNS掲載資料　画像・キャプション用意</t>
  </si>
  <si>
    <t>【開発】産駒情報更新</t>
  </si>
  <si>
    <t>【NPO】Bitﾒｰﾙ送付：4/15地盤工学前編</t>
  </si>
  <si>
    <t>【NPO】社内4/1セミナー参加者　URL共有確認</t>
  </si>
  <si>
    <t>【管理】消防、EV等書類ファイリング</t>
  </si>
  <si>
    <t>【NPO】Bitﾒｰﾙ送付：4/18設計ミス防止</t>
  </si>
  <si>
    <t>【NPO】堀田さんリハーサル　16時～</t>
  </si>
  <si>
    <t>【Webセミナー】運営・前後対応業務/水理計算１</t>
  </si>
  <si>
    <t>【Webセミナー】運営・前後対応業務/作文術</t>
  </si>
  <si>
    <t>【管理】別府出張　経費精算</t>
  </si>
  <si>
    <t>【NPO】ﾒｰﾙﾏｼﾞｯｸ　5月開催案内　志保社長ご報告</t>
  </si>
  <si>
    <t>【NPO】ﾒｰﾙﾏｼﾞｯｸ　5月開催案内　送付</t>
  </si>
  <si>
    <t xml:space="preserve"> 【定例】朝礼、清掃、髙陽山内予定・遅れ等確認</t>
    <rPh sb="13" eb="15">
      <t>ヤマウチ</t>
    </rPh>
    <phoneticPr fontId="5"/>
  </si>
  <si>
    <t>　【問合】メール・問合確認　対応</t>
    <rPh sb="2" eb="4">
      <t>トイアワ</t>
    </rPh>
    <rPh sb="9" eb="11">
      <t>トイアワ</t>
    </rPh>
    <rPh sb="11" eb="13">
      <t>カクニン</t>
    </rPh>
    <rPh sb="14" eb="16">
      <t>タイオウ</t>
    </rPh>
    <phoneticPr fontId="5"/>
  </si>
  <si>
    <t>【開発】管理ツール　山内調査確認</t>
    <rPh sb="1" eb="3">
      <t>カイハツ</t>
    </rPh>
    <rPh sb="4" eb="6">
      <t>カンリ</t>
    </rPh>
    <rPh sb="10" eb="12">
      <t>ヤマウチ</t>
    </rPh>
    <rPh sb="12" eb="14">
      <t>チョウサ</t>
    </rPh>
    <rPh sb="14" eb="16">
      <t>カクニン</t>
    </rPh>
    <phoneticPr fontId="5"/>
  </si>
  <si>
    <t>【開発】電話回線整理　山内指示</t>
    <rPh sb="1" eb="3">
      <t>カイハツ</t>
    </rPh>
    <rPh sb="4" eb="8">
      <t>デンワカイセン</t>
    </rPh>
    <rPh sb="8" eb="10">
      <t>セイリ</t>
    </rPh>
    <rPh sb="11" eb="13">
      <t>ヤマウチ</t>
    </rPh>
    <rPh sb="13" eb="15">
      <t>シジ</t>
    </rPh>
    <phoneticPr fontId="5"/>
  </si>
  <si>
    <t xml:space="preserve"> 【開発】管理職養成セミナー</t>
    <rPh sb="5" eb="8">
      <t>カンリショク</t>
    </rPh>
    <rPh sb="8" eb="10">
      <t>ヨウセイ</t>
    </rPh>
    <phoneticPr fontId="5"/>
  </si>
  <si>
    <t>【開発】ｶﾌｪﾁﾗｼﾃﾞｰﾀ調査報告</t>
    <rPh sb="16" eb="18">
      <t>ホウコク</t>
    </rPh>
    <phoneticPr fontId="5"/>
  </si>
  <si>
    <t>【開発】管理ツール　取り纏め</t>
    <rPh sb="10" eb="11">
      <t>ト</t>
    </rPh>
    <rPh sb="12" eb="13">
      <t>マト</t>
    </rPh>
    <phoneticPr fontId="5"/>
  </si>
  <si>
    <t>【開発】保養所jWIFI　接続先固定検証</t>
    <rPh sb="13" eb="15">
      <t>セツゾク</t>
    </rPh>
    <rPh sb="15" eb="16">
      <t>サキ</t>
    </rPh>
    <rPh sb="16" eb="18">
      <t>コテイ</t>
    </rPh>
    <rPh sb="18" eb="20">
      <t>ケンショウ</t>
    </rPh>
    <phoneticPr fontId="5"/>
  </si>
  <si>
    <t xml:space="preserve"> 【開発】NAS　ﾌｧｰﾑｳｪｱ更新　検証</t>
    <rPh sb="19" eb="21">
      <t>ケンショウ</t>
    </rPh>
    <phoneticPr fontId="5"/>
  </si>
  <si>
    <t xml:space="preserve"> 【開発】個人評価表作成 提出</t>
    <rPh sb="13" eb="15">
      <t>テイシュツ</t>
    </rPh>
    <phoneticPr fontId="5"/>
  </si>
  <si>
    <t>【開発】保養所jWIFI　ファームウェア更新</t>
    <rPh sb="1" eb="3">
      <t>カイハツ</t>
    </rPh>
    <rPh sb="4" eb="7">
      <t>ホヨウジョ</t>
    </rPh>
    <rPh sb="20" eb="22">
      <t>コウシン</t>
    </rPh>
    <phoneticPr fontId="5"/>
  </si>
  <si>
    <t>【開発】大分サーバー設定再開　プリンター設定</t>
    <rPh sb="4" eb="6">
      <t>オオイタ</t>
    </rPh>
    <rPh sb="10" eb="12">
      <t>セッテイ</t>
    </rPh>
    <rPh sb="12" eb="14">
      <t>サイカイ</t>
    </rPh>
    <rPh sb="20" eb="22">
      <t>セッテイ</t>
    </rPh>
    <phoneticPr fontId="5"/>
  </si>
  <si>
    <t>【開発】大分サーバー設定再開　WDS</t>
    <rPh sb="4" eb="6">
      <t>オオイタ</t>
    </rPh>
    <rPh sb="10" eb="12">
      <t>セッテイ</t>
    </rPh>
    <rPh sb="12" eb="14">
      <t>サイカイ</t>
    </rPh>
    <phoneticPr fontId="5"/>
  </si>
  <si>
    <t>【開発】大分サーバー設定再開　自動インストール</t>
    <rPh sb="4" eb="6">
      <t>オオイタ</t>
    </rPh>
    <rPh sb="10" eb="12">
      <t>セッテイ</t>
    </rPh>
    <rPh sb="12" eb="14">
      <t>サイカイ</t>
    </rPh>
    <rPh sb="15" eb="17">
      <t>ジドウ</t>
    </rPh>
    <phoneticPr fontId="5"/>
  </si>
  <si>
    <t xml:space="preserve"> 【開発】端末準備対応　志保社長・伊藤社長</t>
    <rPh sb="5" eb="7">
      <t>タンマツ</t>
    </rPh>
    <rPh sb="7" eb="9">
      <t>ジュンビ</t>
    </rPh>
    <rPh sb="9" eb="11">
      <t>タイオウ</t>
    </rPh>
    <rPh sb="12" eb="16">
      <t>シホシャチョウ</t>
    </rPh>
    <rPh sb="17" eb="21">
      <t>イトウシャチョウ</t>
    </rPh>
    <phoneticPr fontId="5"/>
  </si>
  <si>
    <t>　【問合】問合せ対応</t>
    <rPh sb="2" eb="4">
      <t>トイアワ</t>
    </rPh>
    <rPh sb="5" eb="7">
      <t>トイアワ</t>
    </rPh>
    <rPh sb="8" eb="10">
      <t>タイオウ</t>
    </rPh>
    <phoneticPr fontId="5"/>
  </si>
  <si>
    <t xml:space="preserve"> 【定例】業務報告、髙陽・山内進捗状況確認</t>
    <rPh sb="13" eb="15">
      <t>ヤマウチ</t>
    </rPh>
    <rPh sb="15" eb="17">
      <t>シンチョク</t>
    </rPh>
    <rPh sb="19" eb="21">
      <t>カクニン</t>
    </rPh>
    <phoneticPr fontId="5"/>
  </si>
  <si>
    <t>【NPO】SNS　セミナー宣伝Instagram　投稿予定</t>
  </si>
  <si>
    <t>【NPO】セミナー　領収請求書　作成送付</t>
  </si>
  <si>
    <t>【Webセミナー】運営・前後対応業務/地盤工学前編</t>
  </si>
  <si>
    <t>【管理】期日管理表確認更新</t>
  </si>
  <si>
    <t>【Webセミナー】運営・前後対応業務/設計ミス防止</t>
  </si>
  <si>
    <t>【NPO】5月後半講師各位　テキスト確認</t>
  </si>
  <si>
    <t>【管理】東さん　業務効率化の件　確認連絡</t>
  </si>
  <si>
    <t>【NPO】CPD協会　セミナー参加者送付対応</t>
  </si>
  <si>
    <t>【NPO】電話営業先について　営業と共有・打ち合わせ</t>
  </si>
  <si>
    <t>ウンUN会議</t>
  </si>
  <si>
    <t>【NPO】SNS　Instagram使用について確認</t>
  </si>
  <si>
    <t>【NPO】セミナーアンケート抽出（4/11）</t>
  </si>
  <si>
    <t>【NPO】セミナー申込対応/CPD証明書送付</t>
  </si>
  <si>
    <t xml:space="preserve"> 【開発】申請システム　動作検証再開</t>
    <rPh sb="12" eb="16">
      <t>ドウサケンショウ</t>
    </rPh>
    <rPh sb="16" eb="18">
      <t>サイカイ</t>
    </rPh>
    <phoneticPr fontId="5"/>
  </si>
  <si>
    <t xml:space="preserve"> 【引継】打合せ　共同研究　10：00～</t>
    <rPh sb="5" eb="7">
      <t>ウチアワ</t>
    </rPh>
    <rPh sb="9" eb="11">
      <t>キョウドウ</t>
    </rPh>
    <rPh sb="11" eb="13">
      <t>ケンキュウ</t>
    </rPh>
    <phoneticPr fontId="5"/>
  </si>
  <si>
    <t xml:space="preserve"> 【引継】電話回線整理</t>
    <rPh sb="2" eb="4">
      <t>ヒキツ</t>
    </rPh>
    <phoneticPr fontId="5"/>
  </si>
  <si>
    <t xml:space="preserve"> 【開発】管理ツール　調査再開</t>
    <phoneticPr fontId="5"/>
  </si>
  <si>
    <t xml:space="preserve"> 【開発】打合せ　ゲートDB　14：00～</t>
    <rPh sb="2" eb="4">
      <t>カイハツ</t>
    </rPh>
    <rPh sb="5" eb="7">
      <t>ウチアワ</t>
    </rPh>
    <phoneticPr fontId="5"/>
  </si>
  <si>
    <t xml:space="preserve"> 【引継】打合せ　ラクスル担当　13：00～</t>
    <rPh sb="13" eb="15">
      <t>タントウ</t>
    </rPh>
    <phoneticPr fontId="5"/>
  </si>
  <si>
    <t xml:space="preserve"> 【開発】管理ツール　調査再開</t>
    <rPh sb="11" eb="13">
      <t>チョウサ</t>
    </rPh>
    <rPh sb="13" eb="15">
      <t>サイカイ</t>
    </rPh>
    <phoneticPr fontId="5"/>
  </si>
  <si>
    <t xml:space="preserve"> 【管業】会議開催有通知案内</t>
    <phoneticPr fontId="5"/>
  </si>
  <si>
    <t xml:space="preserve"> 【問合】問合せ対応</t>
    <rPh sb="2" eb="4">
      <t>トイアワ</t>
    </rPh>
    <rPh sb="5" eb="7">
      <t>トイアワ</t>
    </rPh>
    <rPh sb="8" eb="10">
      <t>タイオウ</t>
    </rPh>
    <phoneticPr fontId="5"/>
  </si>
  <si>
    <t xml:space="preserve"> 【定例】業務報告、髙陽・進捗状況確認、フォルダ整理</t>
    <rPh sb="13" eb="15">
      <t>シンチョク</t>
    </rPh>
    <rPh sb="17" eb="19">
      <t>カクニン</t>
    </rPh>
    <rPh sb="24" eb="26">
      <t>セイリ</t>
    </rPh>
    <phoneticPr fontId="5"/>
  </si>
  <si>
    <t>【NPO】Bitﾒｰﾙ送付：4/22　水理計算2</t>
  </si>
  <si>
    <t>【NPO】Bitﾒｰﾙ送付：4/23　構造力学</t>
  </si>
  <si>
    <t>【NPO】電話営業先　整理、順次DM送付</t>
  </si>
  <si>
    <t>【Webセミナー】運営・前後対応業務/水理計算2</t>
  </si>
  <si>
    <t>【Webセミナー】運営・前後対応業務/構造力学</t>
  </si>
  <si>
    <t>【NPO】Webセミナー5～6月分CPD証明書作成</t>
  </si>
  <si>
    <t>【Webセミナー】運営・前後対応業務/環境問題</t>
  </si>
  <si>
    <t>【NPO】講師請求書、講師料の封筒　事前準備（7～9月まで</t>
  </si>
  <si>
    <t>【NPO】セミナーアンケート抽出（4/18）</t>
  </si>
  <si>
    <t>【NPO】セミナーアンケート抽出（4/22）</t>
  </si>
  <si>
    <t>【NPO】セミナーアンケート抽出（4/15）</t>
  </si>
  <si>
    <t>【NPO】Bitﾒｰﾙ送付：5/13　水理計算2（21日間保存</t>
  </si>
  <si>
    <t>【NPO】6月講師各位　テキスト確認ﾒｰﾙ</t>
  </si>
  <si>
    <t>【NPO】セミナー申込　日次報告/作業進捗表更新</t>
  </si>
  <si>
    <t xml:space="preserve"> 【管業】防火・防災管理講習</t>
    <rPh sb="5" eb="7">
      <t>ボウカ</t>
    </rPh>
    <rPh sb="8" eb="10">
      <t>ボウサイ</t>
    </rPh>
    <rPh sb="10" eb="12">
      <t>カンリ</t>
    </rPh>
    <rPh sb="12" eb="14">
      <t>コウシュウ</t>
    </rPh>
    <phoneticPr fontId="5"/>
  </si>
  <si>
    <t xml:space="preserve"> 【管業】実績会議資料準備/参加</t>
    <rPh sb="9" eb="11">
      <t>シリョウ</t>
    </rPh>
    <rPh sb="11" eb="13">
      <t>ジュンビ</t>
    </rPh>
    <rPh sb="14" eb="16">
      <t>サンカ</t>
    </rPh>
    <phoneticPr fontId="5"/>
  </si>
  <si>
    <t xml:space="preserve"> 【開発】ゲート開発　③数量計算の検証　概要作成</t>
    <rPh sb="8" eb="10">
      <t>カイハツ</t>
    </rPh>
    <rPh sb="20" eb="22">
      <t>ガイヨウ</t>
    </rPh>
    <rPh sb="22" eb="24">
      <t>サクセイ</t>
    </rPh>
    <phoneticPr fontId="5"/>
  </si>
  <si>
    <t xml:space="preserve"> 【開発】ゲート開発　②中形ゲートの構造計算の自動生成　概要作成</t>
    <phoneticPr fontId="5"/>
  </si>
  <si>
    <t xml:space="preserve"> 【開発】共同研究　データ抽出　昨年PG確認</t>
    <rPh sb="5" eb="7">
      <t>キョウドウ</t>
    </rPh>
    <rPh sb="7" eb="9">
      <t>ケンキュウ</t>
    </rPh>
    <rPh sb="13" eb="15">
      <t>チュウシュツ</t>
    </rPh>
    <rPh sb="16" eb="18">
      <t>サクネン</t>
    </rPh>
    <rPh sb="20" eb="22">
      <t>カクニン</t>
    </rPh>
    <phoneticPr fontId="5"/>
  </si>
  <si>
    <t xml:space="preserve"> 【管業】防火・防災管理講習</t>
    <phoneticPr fontId="5"/>
  </si>
  <si>
    <t xml:space="preserve"> 【開発】共同研究　データ抽出　概要作成</t>
    <rPh sb="16" eb="18">
      <t>ガイヨウ</t>
    </rPh>
    <rPh sb="18" eb="20">
      <t>サクセイ</t>
    </rPh>
    <phoneticPr fontId="5"/>
  </si>
  <si>
    <t xml:space="preserve"> 【開発】ZoomAI　設定確認</t>
    <phoneticPr fontId="5"/>
  </si>
  <si>
    <t xml:space="preserve"> 【開発】共同研究　データ抽出　概要作成</t>
    <phoneticPr fontId="5"/>
  </si>
  <si>
    <t>【NPO】管理　総務業務効率化案の抽出</t>
  </si>
  <si>
    <t>【管理】馬移動情報　入力（4月度分)</t>
  </si>
  <si>
    <t>【NPO】Bitﾒｰﾙ　ｱﾄﾞﾚｽをmail用に変更</t>
  </si>
  <si>
    <t>【NPO】Webセミナー8～9月分CPD証明書作成</t>
  </si>
  <si>
    <t>【NPO】講師用のお茶購入・準備</t>
  </si>
  <si>
    <t>【NPO】講師請求書、講師料の封筒　事前準備（8、9月まで</t>
  </si>
  <si>
    <t>【NPO】Bitﾒｰﾙ送付：5/13　水理計算2（14日保存</t>
  </si>
  <si>
    <t>1日有休</t>
    <rPh sb="1" eb="2">
      <t>ニチ</t>
    </rPh>
    <rPh sb="2" eb="4">
      <t>ユウキュウ</t>
    </rPh>
    <phoneticPr fontId="1"/>
  </si>
  <si>
    <t xml:space="preserve"> 【開発】ゲート開発　③数量計算の検証　PG作成</t>
    <rPh sb="22" eb="24">
      <t>サクセイ</t>
    </rPh>
    <phoneticPr fontId="5"/>
  </si>
  <si>
    <t xml:space="preserve"> 【開発】ゲート開発　③数量計算の検証　設計書作成</t>
    <rPh sb="8" eb="10">
      <t>カイハツ</t>
    </rPh>
    <rPh sb="20" eb="22">
      <t>セッケイ</t>
    </rPh>
    <rPh sb="22" eb="23">
      <t>ショ</t>
    </rPh>
    <rPh sb="23" eb="25">
      <t>サクセイ</t>
    </rPh>
    <phoneticPr fontId="5"/>
  </si>
  <si>
    <t xml:space="preserve"> 【開発】ゲート開発　③数量計算の検証　設計書修正</t>
    <rPh sb="23" eb="25">
      <t>シュウセイ</t>
    </rPh>
    <phoneticPr fontId="5"/>
  </si>
  <si>
    <t xml:space="preserve"> 【定例】朝礼、清掃、髙陽予定・遅れ等確認</t>
    <rPh sb="13" eb="15">
      <t>ヨテイ</t>
    </rPh>
    <phoneticPr fontId="5"/>
  </si>
  <si>
    <t xml:space="preserve"> 【開発】連休前対応　サーバー、ルンバなど</t>
    <rPh sb="5" eb="7">
      <t>レンキュウ</t>
    </rPh>
    <rPh sb="7" eb="8">
      <t>マエ</t>
    </rPh>
    <rPh sb="8" eb="10">
      <t>タイオウ</t>
    </rPh>
    <phoneticPr fontId="5"/>
  </si>
  <si>
    <t>【NPO】ｾﾐﾅｰ終始PPT改善（5/14ｾﾐﾅｰ、セミナー一覧画像</t>
  </si>
  <si>
    <t>【NPO】舟越さん　セミナー用動画　音声チェック/報告</t>
  </si>
  <si>
    <t>【管理】職安募集　更新</t>
  </si>
  <si>
    <t>【NPO】ﾒｰﾙﾏｼﾞｯｸ　6月開催案内　送付</t>
  </si>
  <si>
    <t>【NPO】ﾒｰﾙﾏｼﾞｯｸ　6月開催　志保社長確認</t>
  </si>
  <si>
    <t>開発業務（見積もり依頼と稟議書作成、電話回線整理、</t>
  </si>
  <si>
    <t>【NPO】萱野さん　セミナーリハーサル　10:00～</t>
  </si>
  <si>
    <t>開発業務（RPA学習、RPAし掛かり中譲渡（管理室の請求書関連）</t>
  </si>
  <si>
    <t>【NPO】Bitﾒｰﾙ送付：5/14建設コン</t>
  </si>
  <si>
    <t>【NPO】6月講師各位　テキスト確認（西さん/村井さん</t>
  </si>
  <si>
    <t>【NPO】Bitﾒｰﾙ送付：5/16受験対策のコツ</t>
  </si>
  <si>
    <t>【NPO】セミナー申込対応/請求領収書/CPD証明書送付</t>
  </si>
  <si>
    <t>ウンUN　HP掲載更新</t>
  </si>
  <si>
    <t xml:space="preserve"> 【管業】全サーバー（すべて）チェック</t>
    <rPh sb="5" eb="6">
      <t>ゼン</t>
    </rPh>
    <phoneticPr fontId="5"/>
  </si>
  <si>
    <t xml:space="preserve"> 【開発】ゲート開発　③数量計算の検証　概要修正</t>
    <rPh sb="20" eb="22">
      <t>ガイヨウ</t>
    </rPh>
    <rPh sb="22" eb="24">
      <t>シュウセイ</t>
    </rPh>
    <phoneticPr fontId="5"/>
  </si>
  <si>
    <t xml:space="preserve"> 【開発】ゲート開発　②構造計算自動化　概要修正</t>
    <rPh sb="2" eb="4">
      <t>カイハツ</t>
    </rPh>
    <rPh sb="8" eb="10">
      <t>カイハツ</t>
    </rPh>
    <rPh sb="12" eb="14">
      <t>コウゾウ</t>
    </rPh>
    <rPh sb="14" eb="16">
      <t>ケイサン</t>
    </rPh>
    <rPh sb="16" eb="19">
      <t>ジドウカ</t>
    </rPh>
    <rPh sb="20" eb="22">
      <t>ガイヨウ</t>
    </rPh>
    <rPh sb="22" eb="24">
      <t>シュウセイ</t>
    </rPh>
    <phoneticPr fontId="5"/>
  </si>
  <si>
    <t xml:space="preserve"> 【開発】ゲート開発　③数量計算の検証　PG作成</t>
    <rPh sb="2" eb="4">
      <t>カイハツ</t>
    </rPh>
    <rPh sb="8" eb="10">
      <t>カイハツ</t>
    </rPh>
    <rPh sb="12" eb="14">
      <t>スウリョウ</t>
    </rPh>
    <rPh sb="14" eb="16">
      <t>ケイサン</t>
    </rPh>
    <rPh sb="17" eb="19">
      <t>ケンショウ</t>
    </rPh>
    <rPh sb="22" eb="24">
      <t>サクセイ</t>
    </rPh>
    <phoneticPr fontId="5"/>
  </si>
  <si>
    <t xml:space="preserve"> 【開発】ZoomAI説明資料作成</t>
    <rPh sb="11" eb="13">
      <t>セツメイ</t>
    </rPh>
    <rPh sb="13" eb="15">
      <t>シリョウ</t>
    </rPh>
    <rPh sb="15" eb="17">
      <t>サクセイ</t>
    </rPh>
    <phoneticPr fontId="5"/>
  </si>
  <si>
    <t xml:space="preserve"> 【開発】ドコモ打合せ</t>
    <rPh sb="8" eb="10">
      <t>ウチアワ</t>
    </rPh>
    <phoneticPr fontId="5"/>
  </si>
  <si>
    <t xml:space="preserve"> 【開発】共同研究　データ抽出　概要修正</t>
    <rPh sb="16" eb="18">
      <t>ガイヨウ</t>
    </rPh>
    <rPh sb="18" eb="20">
      <t>シュウセイ</t>
    </rPh>
    <phoneticPr fontId="5"/>
  </si>
  <si>
    <t>開発業務（カメラ設置、その他　11:00～</t>
    <phoneticPr fontId="1"/>
  </si>
  <si>
    <t>【NPO】zoom　7～9月分　録画・フォーカスモード設定</t>
  </si>
  <si>
    <t>【NPO】電話営業、DM送付等対応</t>
  </si>
  <si>
    <t>【管理】4月度調教報告書　作成</t>
  </si>
  <si>
    <t>【管理】車検書類送付　大分100す5085</t>
  </si>
  <si>
    <t>【NPO】Bitﾒｰﾙ送付：5/20動的解析</t>
  </si>
  <si>
    <t>【NPO】Bitﾒｰﾙ送付：5/21配筋ボックス１</t>
  </si>
  <si>
    <t>【NPO】Bitﾒｰﾙ送付：5/23基礎工土留め工（事前アンケートも</t>
  </si>
  <si>
    <t>次世代リーダーセミナー　資料作成</t>
  </si>
  <si>
    <t>【Webセミナー】運営・前後対応業務/水理計算応用演習</t>
  </si>
  <si>
    <t>【Webセミナー】運営・前後対応業務/建設コンサルタントとは</t>
  </si>
  <si>
    <t>【Webセミナー】運営・前後対応業務/受験対策のコツ</t>
  </si>
  <si>
    <t>【NPO】セミナー申込対応/CPD証明書送付/請求領収書</t>
  </si>
  <si>
    <t xml:space="preserve"> 【管業】全サーバー（福岡）チェック</t>
    <rPh sb="5" eb="6">
      <t>ゼン</t>
    </rPh>
    <rPh sb="11" eb="13">
      <t>フクオカ</t>
    </rPh>
    <phoneticPr fontId="5"/>
  </si>
  <si>
    <t xml:space="preserve"> 【開発】AIサーバー　配置/性能構成</t>
    <rPh sb="15" eb="17">
      <t>セイノウ</t>
    </rPh>
    <phoneticPr fontId="5"/>
  </si>
  <si>
    <t xml:space="preserve"> 【開発】AI　教育カリキュラム作成</t>
    <phoneticPr fontId="5"/>
  </si>
  <si>
    <t xml:space="preserve"> 【開発】ゲート開発　②構造計算自動化　概要修正</t>
    <phoneticPr fontId="5"/>
  </si>
  <si>
    <t xml:space="preserve"> 【開発】ゲート開発　③数量計算の検証　PG作成/概要</t>
    <phoneticPr fontId="5"/>
  </si>
  <si>
    <t xml:space="preserve"> 【開発】管理室開発　キックオフミーティング</t>
    <rPh sb="5" eb="7">
      <t>カンリ</t>
    </rPh>
    <rPh sb="7" eb="8">
      <t>シツ</t>
    </rPh>
    <rPh sb="8" eb="10">
      <t>カイハツ</t>
    </rPh>
    <phoneticPr fontId="5"/>
  </si>
  <si>
    <t xml:space="preserve"> 【開発】 VPNネットワーク検討（10GB回線）</t>
    <phoneticPr fontId="5"/>
  </si>
  <si>
    <r>
      <t>亀川</t>
    </r>
    <r>
      <rPr>
        <b/>
        <sz val="10"/>
        <rFont val="ＭＳ Ｐゴシック"/>
        <family val="3"/>
        <charset val="128"/>
      </rPr>
      <t>（10時～16時）</t>
    </r>
    <rPh sb="0" eb="2">
      <t>カメガワ</t>
    </rPh>
    <rPh sb="5" eb="6">
      <t>ジ</t>
    </rPh>
    <rPh sb="9" eb="10">
      <t>ジ</t>
    </rPh>
    <phoneticPr fontId="1"/>
  </si>
  <si>
    <t>【建築】事務作業</t>
    <rPh sb="1" eb="3">
      <t>ケンチク</t>
    </rPh>
    <rPh sb="4" eb="8">
      <t>ジムサギョウ</t>
    </rPh>
    <phoneticPr fontId="1"/>
  </si>
  <si>
    <t xml:space="preserve"> 【定例】朝礼、清掃、配下の予定・遅れ等確認</t>
    <rPh sb="11" eb="13">
      <t>ハイカ</t>
    </rPh>
    <rPh sb="14" eb="16">
      <t>ヨテイ</t>
    </rPh>
    <phoneticPr fontId="5"/>
  </si>
  <si>
    <t>【建築】備品整理（月初）</t>
    <rPh sb="4" eb="6">
      <t>ビヒン</t>
    </rPh>
    <rPh sb="6" eb="8">
      <t>セイリ</t>
    </rPh>
    <rPh sb="9" eb="11">
      <t>ゲッショ</t>
    </rPh>
    <phoneticPr fontId="1"/>
  </si>
  <si>
    <t>福岡テレワークPC　のｱｯﾌﾟｸﾞﾚｰﾄﾞ</t>
    <rPh sb="0" eb="2">
      <t>フクオカ</t>
    </rPh>
    <phoneticPr fontId="1"/>
  </si>
  <si>
    <t>亀川備考</t>
    <rPh sb="0" eb="2">
      <t>カメガワ</t>
    </rPh>
    <rPh sb="2" eb="4">
      <t>ビコウ</t>
    </rPh>
    <phoneticPr fontId="1"/>
  </si>
  <si>
    <t>建築月初め業務　備品整理　1時間～2時間</t>
    <rPh sb="0" eb="2">
      <t>ケンチク</t>
    </rPh>
    <rPh sb="2" eb="4">
      <t>ツキハジ</t>
    </rPh>
    <rPh sb="5" eb="7">
      <t>ギョウム</t>
    </rPh>
    <rPh sb="8" eb="10">
      <t>ビヒン</t>
    </rPh>
    <rPh sb="10" eb="12">
      <t>セイリ</t>
    </rPh>
    <rPh sb="14" eb="16">
      <t>ジカン</t>
    </rPh>
    <rPh sb="18" eb="20">
      <t>ジカン</t>
    </rPh>
    <phoneticPr fontId="1"/>
  </si>
  <si>
    <t>建築業務月初め　10日まで　請求書対応　2時間</t>
    <rPh sb="0" eb="2">
      <t>ケンチク</t>
    </rPh>
    <rPh sb="2" eb="4">
      <t>ギョウム</t>
    </rPh>
    <rPh sb="4" eb="6">
      <t>ツキハジ</t>
    </rPh>
    <rPh sb="10" eb="11">
      <t>ニチ</t>
    </rPh>
    <rPh sb="14" eb="17">
      <t>セイキュウショ</t>
    </rPh>
    <rPh sb="17" eb="19">
      <t>タイオウ</t>
    </rPh>
    <rPh sb="21" eb="23">
      <t>ジカン</t>
    </rPh>
    <phoneticPr fontId="1"/>
  </si>
  <si>
    <t>建築開発　SS7　ライセンスによる開発中断</t>
    <rPh sb="0" eb="2">
      <t>ケンチク</t>
    </rPh>
    <rPh sb="2" eb="4">
      <t>カイハツ</t>
    </rPh>
    <rPh sb="17" eb="19">
      <t>カイハツ</t>
    </rPh>
    <rPh sb="19" eb="21">
      <t>チュウダン</t>
    </rPh>
    <phoneticPr fontId="1"/>
  </si>
  <si>
    <t>【建築】請求書対応①</t>
    <phoneticPr fontId="1"/>
  </si>
  <si>
    <t>【建築】請求書対応②</t>
    <phoneticPr fontId="1"/>
  </si>
  <si>
    <t xml:space="preserve"> 【管業】管理職座談会（毎週木曜）、議事録</t>
    <rPh sb="12" eb="14">
      <t>マイシュウ</t>
    </rPh>
    <rPh sb="14" eb="16">
      <t>モクヨウ</t>
    </rPh>
    <rPh sb="18" eb="21">
      <t>ギジロク</t>
    </rPh>
    <phoneticPr fontId="5"/>
  </si>
  <si>
    <t>浦松</t>
    <rPh sb="0" eb="2">
      <t>ウラマツ</t>
    </rPh>
    <phoneticPr fontId="1"/>
  </si>
  <si>
    <t xml:space="preserve"> 【定例】朝礼、清掃</t>
    <phoneticPr fontId="5"/>
  </si>
  <si>
    <t xml:space="preserve"> 【定例】報告、翌日業務確認　17：00～17：45</t>
    <rPh sb="5" eb="7">
      <t>ホウコク</t>
    </rPh>
    <rPh sb="8" eb="10">
      <t>ヨクジツ</t>
    </rPh>
    <rPh sb="10" eb="12">
      <t>ギョウム</t>
    </rPh>
    <rPh sb="12" eb="14">
      <t>カクニン</t>
    </rPh>
    <phoneticPr fontId="5"/>
  </si>
  <si>
    <t xml:space="preserve"> 【日次】9：00　営業RPA実行結果確認</t>
  </si>
  <si>
    <t xml:space="preserve">  【事務】実績会議資料準備</t>
    <rPh sb="3" eb="5">
      <t>ジム</t>
    </rPh>
    <rPh sb="6" eb="8">
      <t>ジッセキ</t>
    </rPh>
    <rPh sb="8" eb="10">
      <t>カイギ</t>
    </rPh>
    <rPh sb="10" eb="12">
      <t>シリョウ</t>
    </rPh>
    <rPh sb="12" eb="14">
      <t>ジュンビ</t>
    </rPh>
    <phoneticPr fontId="5"/>
  </si>
  <si>
    <t xml:space="preserve">  【事務】実績会議資料準備</t>
    <rPh sb="3" eb="5">
      <t>ジム</t>
    </rPh>
    <rPh sb="10" eb="12">
      <t>シリョウ</t>
    </rPh>
    <rPh sb="12" eb="14">
      <t>ジュンビ</t>
    </rPh>
    <phoneticPr fontId="5"/>
  </si>
  <si>
    <t xml:space="preserve"> 【日次】15：00　バックアップ、防火チェックと取り纏め</t>
    <rPh sb="25" eb="26">
      <t>ト</t>
    </rPh>
    <rPh sb="27" eb="28">
      <t>マト</t>
    </rPh>
    <phoneticPr fontId="5"/>
  </si>
  <si>
    <t>【開発】新名打ち合わせ</t>
    <phoneticPr fontId="1"/>
  </si>
  <si>
    <t xml:space="preserve"> 【定例】朝礼、清掃、事務作業</t>
    <phoneticPr fontId="5"/>
  </si>
  <si>
    <t xml:space="preserve"> 【定例】朝礼、清掃、事務作業</t>
    <rPh sb="11" eb="15">
      <t>ジムサギョウ</t>
    </rPh>
    <phoneticPr fontId="5"/>
  </si>
  <si>
    <t xml:space="preserve"> 【定例】業務報告、部下進捗状況確認</t>
    <rPh sb="10" eb="12">
      <t>ブカ</t>
    </rPh>
    <rPh sb="12" eb="14">
      <t>シンチョク</t>
    </rPh>
    <rPh sb="16" eb="18">
      <t>カクニン</t>
    </rPh>
    <phoneticPr fontId="5"/>
  </si>
  <si>
    <t xml:space="preserve"> 【定例】業務報告、部下進捗状況確認</t>
    <rPh sb="2" eb="4">
      <t>テイレイ</t>
    </rPh>
    <rPh sb="5" eb="7">
      <t>ギョウム</t>
    </rPh>
    <rPh sb="7" eb="9">
      <t>ホウコク</t>
    </rPh>
    <rPh sb="10" eb="12">
      <t>ブカ</t>
    </rPh>
    <rPh sb="12" eb="14">
      <t>シンチョク</t>
    </rPh>
    <rPh sb="14" eb="16">
      <t>ジョウキョウ</t>
    </rPh>
    <rPh sb="16" eb="18">
      <t>カクニン</t>
    </rPh>
    <phoneticPr fontId="5"/>
  </si>
  <si>
    <t xml:space="preserve"> 【管理】事務作業</t>
    <rPh sb="5" eb="9">
      <t>ジムサギョウ</t>
    </rPh>
    <phoneticPr fontId="5"/>
  </si>
  <si>
    <t>【週次】競馬HP・SNS更新</t>
    <rPh sb="1" eb="3">
      <t>シュウジ</t>
    </rPh>
    <rPh sb="4" eb="6">
      <t>ケイバ</t>
    </rPh>
    <rPh sb="12" eb="14">
      <t>コウシン</t>
    </rPh>
    <phoneticPr fontId="5"/>
  </si>
  <si>
    <t xml:space="preserve"> 【週次】週間スケジュール作成</t>
    <phoneticPr fontId="5"/>
  </si>
  <si>
    <t>開発　出走結果報告（浦松さん対応のチェック</t>
  </si>
  <si>
    <t>問い合わせ対応/事務作業/報告（チャート確認込み）</t>
  </si>
  <si>
    <t xml:space="preserve"> 【日次】事務作業</t>
    <rPh sb="5" eb="9">
      <t>ジムサギョウ</t>
    </rPh>
    <phoneticPr fontId="5"/>
  </si>
  <si>
    <t xml:space="preserve"> 【日次】SNS投稿　草地和牛</t>
    <rPh sb="8" eb="10">
      <t>トウコウ</t>
    </rPh>
    <rPh sb="11" eb="15">
      <t>クサチワギュウ</t>
    </rPh>
    <phoneticPr fontId="5"/>
  </si>
  <si>
    <t xml:space="preserve"> 【開発】定例亀川打合せ</t>
    <rPh sb="5" eb="7">
      <t>テイレイ</t>
    </rPh>
    <rPh sb="7" eb="9">
      <t>カメガワ</t>
    </rPh>
    <rPh sb="9" eb="11">
      <t>ウチアワ</t>
    </rPh>
    <phoneticPr fontId="5"/>
  </si>
  <si>
    <t>【開発】AI　上屋開発　基本設計</t>
    <phoneticPr fontId="1"/>
  </si>
  <si>
    <t xml:space="preserve"> 【開発】会社定例会議</t>
    <rPh sb="5" eb="7">
      <t>カイシャ</t>
    </rPh>
    <rPh sb="7" eb="9">
      <t>テイレイ</t>
    </rPh>
    <rPh sb="9" eb="11">
      <t>カイギ</t>
    </rPh>
    <phoneticPr fontId="5"/>
  </si>
  <si>
    <t>【週次】競馬SNS更新</t>
    <rPh sb="1" eb="3">
      <t>シュウジ</t>
    </rPh>
    <rPh sb="4" eb="6">
      <t>ケイバ</t>
    </rPh>
    <rPh sb="9" eb="11">
      <t>コウシン</t>
    </rPh>
    <phoneticPr fontId="5"/>
  </si>
  <si>
    <t>【週次】草地和牛SNS更新</t>
    <rPh sb="1" eb="3">
      <t>シュウジ</t>
    </rPh>
    <rPh sb="4" eb="8">
      <t>クサジワギュウ</t>
    </rPh>
    <rPh sb="11" eb="13">
      <t>コウシン</t>
    </rPh>
    <phoneticPr fontId="5"/>
  </si>
  <si>
    <t>電話営業応援</t>
  </si>
  <si>
    <t>次世代リーダー座談会　11:30～</t>
  </si>
  <si>
    <t>産駒情報更新</t>
    <rPh sb="0" eb="4">
      <t>サンクジョウホウ</t>
    </rPh>
    <rPh sb="4" eb="6">
      <t>コウシン</t>
    </rPh>
    <phoneticPr fontId="5"/>
  </si>
  <si>
    <t>10時～　実績会議参加</t>
  </si>
  <si>
    <t>26年産駒　ﾌｫﾙﾀﾞ作成・情報格納　他作業</t>
  </si>
  <si>
    <t>SSL対応</t>
    <rPh sb="3" eb="5">
      <t>タイオウ</t>
    </rPh>
    <phoneticPr fontId="5"/>
  </si>
  <si>
    <t>フォーラム8稟議書</t>
    <rPh sb="6" eb="9">
      <t>リンギショ</t>
    </rPh>
    <phoneticPr fontId="5"/>
  </si>
  <si>
    <t>【開発】AI　上屋開発　実装</t>
    <rPh sb="1" eb="3">
      <t>カイハツ</t>
    </rPh>
    <rPh sb="7" eb="9">
      <t>ウワヤ</t>
    </rPh>
    <rPh sb="9" eb="11">
      <t>カイハツ</t>
    </rPh>
    <rPh sb="12" eb="14">
      <t>ジッソウ</t>
    </rPh>
    <phoneticPr fontId="1"/>
  </si>
  <si>
    <t>実績会議　議事録作成（14時までに一次確認目標</t>
  </si>
  <si>
    <t xml:space="preserve"> 【開発】M365検討</t>
    <rPh sb="2" eb="4">
      <t>カイハツ</t>
    </rPh>
    <rPh sb="9" eb="11">
      <t>ケントウ</t>
    </rPh>
    <phoneticPr fontId="5"/>
  </si>
  <si>
    <t>Webセミナー　アンケート紹介メール作成（3月度）</t>
  </si>
  <si>
    <t>Webセミナー　申込対応（エラーチェックも含め）</t>
  </si>
  <si>
    <t>Webセミナー　申込対応</t>
  </si>
  <si>
    <t>RICOH　セキュリティセミナー　9:30～</t>
  </si>
  <si>
    <t>3月後半～　業務整理・Brabio入力</t>
  </si>
  <si>
    <t>半期　個人目標整理・状況確認</t>
  </si>
  <si>
    <t>ウンUN4月号　掲載用セミナー案内作成</t>
  </si>
  <si>
    <t>1月度調教報告書　調教師各位へFAX</t>
  </si>
  <si>
    <t>Webセミナー　zoomMTG設定・登録（51科目分）</t>
  </si>
  <si>
    <t>Webセミナー社内申込者一次まとめ</t>
  </si>
  <si>
    <t>Webセミナー　4月講師　講師料支払封筒用意</t>
  </si>
  <si>
    <t>Webセミナー　申込ページ公開</t>
  </si>
  <si>
    <t>Webセミナー　4月度開催案内メール送信</t>
  </si>
  <si>
    <t>管理部効率化業務　確認・改善予定について整理</t>
  </si>
  <si>
    <t xml:space="preserve"> 【開発】AI　RAG開発　OCR対応</t>
    <rPh sb="2" eb="4">
      <t>カイハツ</t>
    </rPh>
    <rPh sb="11" eb="13">
      <t>カイハツ</t>
    </rPh>
    <rPh sb="17" eb="19">
      <t>タイオウ</t>
    </rPh>
    <phoneticPr fontId="5"/>
  </si>
  <si>
    <t xml:space="preserve"> 【開発】AI　画像解析　数値項目学習データ生成</t>
    <rPh sb="8" eb="10">
      <t>ガゾウ</t>
    </rPh>
    <rPh sb="10" eb="12">
      <t>カイセキ</t>
    </rPh>
    <rPh sb="13" eb="15">
      <t>スウチ</t>
    </rPh>
    <rPh sb="15" eb="17">
      <t>コウモク</t>
    </rPh>
    <rPh sb="17" eb="19">
      <t>ガクシュウ</t>
    </rPh>
    <rPh sb="22" eb="24">
      <t>セイセイ</t>
    </rPh>
    <phoneticPr fontId="5"/>
  </si>
  <si>
    <t xml:space="preserve"> 【開発】面談14：00</t>
    <rPh sb="2" eb="4">
      <t>カイハツ</t>
    </rPh>
    <rPh sb="5" eb="7">
      <t>メンダン</t>
    </rPh>
    <phoneticPr fontId="5"/>
  </si>
  <si>
    <t>【開発】AI　画像解析　処理実行</t>
    <rPh sb="7" eb="9">
      <t>ガゾウ</t>
    </rPh>
    <rPh sb="9" eb="11">
      <t>カイセキ</t>
    </rPh>
    <rPh sb="12" eb="14">
      <t>ショリ</t>
    </rPh>
    <rPh sb="14" eb="16">
      <t>ジッコウ</t>
    </rPh>
    <phoneticPr fontId="5"/>
  </si>
  <si>
    <t xml:space="preserve"> 【日次】9：00　営業RPA実行結果確認</t>
    <phoneticPr fontId="5"/>
  </si>
  <si>
    <t xml:space="preserve"> 【日次】事務作業</t>
    <phoneticPr fontId="5"/>
  </si>
  <si>
    <t>Microsoft検討・動作確認</t>
    <phoneticPr fontId="5"/>
  </si>
  <si>
    <t>産駒情報更新</t>
    <rPh sb="4" eb="6">
      <t>コウシン</t>
    </rPh>
    <phoneticPr fontId="5"/>
  </si>
  <si>
    <t>RPAアカウント発行</t>
    <rPh sb="8" eb="10">
      <t>ハッコウ</t>
    </rPh>
    <phoneticPr fontId="5"/>
  </si>
  <si>
    <t>Microsoft検討・動作確認</t>
    <rPh sb="9" eb="11">
      <t>ケントウ</t>
    </rPh>
    <rPh sb="12" eb="16">
      <t>ドウサカクニン</t>
    </rPh>
    <phoneticPr fontId="5"/>
  </si>
  <si>
    <t>PowerBI</t>
    <phoneticPr fontId="5"/>
  </si>
  <si>
    <t>Webセミナー　申込対応（請求書ほか）</t>
  </si>
  <si>
    <t>Webセミナー　会場設営</t>
  </si>
  <si>
    <t>次世代リーダー座談会　11:30～（髙陽司会・議事録）</t>
  </si>
  <si>
    <t>CPD証明書　印鑑画像貼り付け・配布準備</t>
  </si>
  <si>
    <t>会議議事録作成（月曜午前一次確認目標）</t>
  </si>
  <si>
    <t>Webセミナー　参加者集計</t>
  </si>
  <si>
    <t>半期目標設定　実績・目標シート作成</t>
  </si>
  <si>
    <t>RPAアカウント発行</t>
    <phoneticPr fontId="5"/>
  </si>
  <si>
    <t xml:space="preserve"> 【開発】AI　新開発環境　GitHub構築</t>
    <rPh sb="2" eb="4">
      <t>カイハツ</t>
    </rPh>
    <rPh sb="8" eb="9">
      <t>シン</t>
    </rPh>
    <rPh sb="9" eb="11">
      <t>カイハツ</t>
    </rPh>
    <rPh sb="11" eb="13">
      <t>カンキョウ</t>
    </rPh>
    <rPh sb="20" eb="22">
      <t>コウチク</t>
    </rPh>
    <phoneticPr fontId="5"/>
  </si>
  <si>
    <t xml:space="preserve"> 【開発】AI　新開発環境　構築資料確認</t>
    <rPh sb="2" eb="4">
      <t>カイハツ</t>
    </rPh>
    <rPh sb="8" eb="9">
      <t>シン</t>
    </rPh>
    <rPh sb="9" eb="11">
      <t>カイハツ</t>
    </rPh>
    <rPh sb="11" eb="13">
      <t>カンキョウ</t>
    </rPh>
    <rPh sb="14" eb="16">
      <t>コウチク</t>
    </rPh>
    <rPh sb="16" eb="18">
      <t>シリョウ</t>
    </rPh>
    <rPh sb="18" eb="20">
      <t>カクニン</t>
    </rPh>
    <phoneticPr fontId="5"/>
  </si>
  <si>
    <t xml:space="preserve"> 【開発】AI　画像解析　数値項目学習データ精度向上</t>
    <rPh sb="8" eb="10">
      <t>ガゾウ</t>
    </rPh>
    <rPh sb="10" eb="12">
      <t>カイセキ</t>
    </rPh>
    <rPh sb="13" eb="15">
      <t>スウチ</t>
    </rPh>
    <rPh sb="15" eb="17">
      <t>コウモク</t>
    </rPh>
    <rPh sb="17" eb="19">
      <t>ガクシュウ</t>
    </rPh>
    <rPh sb="22" eb="24">
      <t>セイド</t>
    </rPh>
    <rPh sb="24" eb="26">
      <t>コウジョウ</t>
    </rPh>
    <phoneticPr fontId="5"/>
  </si>
  <si>
    <t xml:space="preserve"> 【開発】AI　画像解析　数値項目学習データ精度向上</t>
    <rPh sb="2" eb="4">
      <t>カイハツ</t>
    </rPh>
    <rPh sb="8" eb="10">
      <t>ガゾウ</t>
    </rPh>
    <rPh sb="10" eb="12">
      <t>カイセキ</t>
    </rPh>
    <rPh sb="13" eb="15">
      <t>スウチ</t>
    </rPh>
    <rPh sb="15" eb="17">
      <t>コウモク</t>
    </rPh>
    <rPh sb="17" eb="19">
      <t>ガクシュウ</t>
    </rPh>
    <rPh sb="22" eb="24">
      <t>セイド</t>
    </rPh>
    <rPh sb="24" eb="26">
      <t>コウジョウ</t>
    </rPh>
    <phoneticPr fontId="5"/>
  </si>
  <si>
    <t xml:space="preserve"> 【開発】AI　開発環境構築と説明</t>
    <rPh sb="8" eb="10">
      <t>カイハツ</t>
    </rPh>
    <rPh sb="10" eb="12">
      <t>カンキョウ</t>
    </rPh>
    <rPh sb="12" eb="14">
      <t>コウチク</t>
    </rPh>
    <rPh sb="15" eb="17">
      <t>セツメイ</t>
    </rPh>
    <phoneticPr fontId="5"/>
  </si>
  <si>
    <t xml:space="preserve"> 【開発】AI　開発環境構築と説明</t>
    <rPh sb="2" eb="4">
      <t>カイハツ</t>
    </rPh>
    <rPh sb="8" eb="10">
      <t>カイハツ</t>
    </rPh>
    <rPh sb="10" eb="12">
      <t>カンキョウ</t>
    </rPh>
    <rPh sb="12" eb="14">
      <t>コウチク</t>
    </rPh>
    <rPh sb="15" eb="17">
      <t>セツメイ</t>
    </rPh>
    <phoneticPr fontId="1"/>
  </si>
  <si>
    <t xml:space="preserve"> 【開発】AI　新開発環境動作</t>
    <rPh sb="8" eb="9">
      <t>シン</t>
    </rPh>
    <rPh sb="9" eb="11">
      <t>カイハツ</t>
    </rPh>
    <rPh sb="13" eb="15">
      <t>ドウサ</t>
    </rPh>
    <phoneticPr fontId="1"/>
  </si>
  <si>
    <t>早田</t>
    <rPh sb="0" eb="2">
      <t>ワサダ</t>
    </rPh>
    <phoneticPr fontId="1"/>
  </si>
  <si>
    <t>穴澤</t>
    <rPh sb="0" eb="2">
      <t>アナザワ</t>
    </rPh>
    <phoneticPr fontId="1"/>
  </si>
  <si>
    <t>産駒BT　更新確認・BT差し替え確認（週次）</t>
  </si>
  <si>
    <t>Webセミナー　受領済みﾃｷｽﾄの内容確認（地盤工学</t>
  </si>
  <si>
    <t>管理部RPA修正（按分表作成）</t>
  </si>
  <si>
    <t>Webセミナー　リハーサル（疑似セミナー）</t>
  </si>
  <si>
    <t>西川講師　リハーサル＜未定＞</t>
  </si>
  <si>
    <t>期日管理表　確認・メール</t>
  </si>
  <si>
    <t>15：00～　採用面談同席</t>
  </si>
  <si>
    <t>車検　959プロボックス　15:30～</t>
  </si>
  <si>
    <t>Webセミナー社内申込者　全体まとめ・受付反映</t>
  </si>
  <si>
    <t>Webセミナー　参加者集計／作業進捗表更新</t>
  </si>
  <si>
    <t>引継ぎ項目の整理</t>
    <rPh sb="0" eb="2">
      <t>ヒキツ</t>
    </rPh>
    <rPh sb="3" eb="5">
      <t>コウモク</t>
    </rPh>
    <rPh sb="6" eb="8">
      <t>セイリ</t>
    </rPh>
    <phoneticPr fontId="5"/>
  </si>
  <si>
    <t xml:space="preserve"> 【開発】AI　新開発環境　説明準備</t>
    <rPh sb="2" eb="4">
      <t>カイハツ</t>
    </rPh>
    <rPh sb="8" eb="9">
      <t>シン</t>
    </rPh>
    <rPh sb="9" eb="11">
      <t>カイハツ</t>
    </rPh>
    <rPh sb="11" eb="13">
      <t>カンキョウ</t>
    </rPh>
    <rPh sb="14" eb="16">
      <t>セツメイ</t>
    </rPh>
    <rPh sb="16" eb="18">
      <t>ジュンビ</t>
    </rPh>
    <phoneticPr fontId="5"/>
  </si>
  <si>
    <t xml:space="preserve"> 【開発】AI　新開発環境　説明</t>
    <rPh sb="2" eb="4">
      <t>カイハツ</t>
    </rPh>
    <rPh sb="8" eb="11">
      <t>シンカイハツ</t>
    </rPh>
    <rPh sb="11" eb="13">
      <t>カンキョウ</t>
    </rPh>
    <rPh sb="14" eb="16">
      <t>セツメイ</t>
    </rPh>
    <phoneticPr fontId="5"/>
  </si>
  <si>
    <t xml:space="preserve"> 【開発】AI　新開発環境　</t>
    <rPh sb="2" eb="4">
      <t>カイハツ</t>
    </rPh>
    <rPh sb="8" eb="9">
      <t>シン</t>
    </rPh>
    <rPh sb="9" eb="11">
      <t>カイハツ</t>
    </rPh>
    <rPh sb="11" eb="13">
      <t>カンキョウ</t>
    </rPh>
    <phoneticPr fontId="5"/>
  </si>
  <si>
    <t xml:space="preserve"> 【開発】AI　画像解析　作図プロトタイプPG</t>
    <rPh sb="8" eb="10">
      <t>ガゾウ</t>
    </rPh>
    <rPh sb="10" eb="12">
      <t>カイセキ</t>
    </rPh>
    <rPh sb="13" eb="15">
      <t>サクズ</t>
    </rPh>
    <phoneticPr fontId="5"/>
  </si>
  <si>
    <t xml:space="preserve"> 【開発】AI　画像解析　作図プロトタイプPG</t>
    <rPh sb="2" eb="4">
      <t>カイハツ</t>
    </rPh>
    <rPh sb="8" eb="10">
      <t>ガゾウ</t>
    </rPh>
    <rPh sb="10" eb="12">
      <t>カイセキ</t>
    </rPh>
    <rPh sb="13" eb="15">
      <t>サクズ</t>
    </rPh>
    <phoneticPr fontId="5"/>
  </si>
  <si>
    <t xml:space="preserve"> 【管理】開発人員　面談</t>
    <rPh sb="2" eb="4">
      <t>カンリ</t>
    </rPh>
    <rPh sb="5" eb="7">
      <t>カイハツ</t>
    </rPh>
    <rPh sb="7" eb="9">
      <t>ジンイン</t>
    </rPh>
    <rPh sb="10" eb="12">
      <t>メンダン</t>
    </rPh>
    <phoneticPr fontId="5"/>
  </si>
  <si>
    <t>【開発】新開発環境構築</t>
    <rPh sb="1" eb="3">
      <t>カイハツ</t>
    </rPh>
    <rPh sb="4" eb="5">
      <t>シン</t>
    </rPh>
    <rPh sb="5" eb="7">
      <t>カイハツ</t>
    </rPh>
    <rPh sb="7" eb="9">
      <t>カンキョウ</t>
    </rPh>
    <rPh sb="9" eb="11">
      <t>コウチク</t>
    </rPh>
    <phoneticPr fontId="1"/>
  </si>
  <si>
    <t>【開発】新開発環境構築　GitHub</t>
    <rPh sb="1" eb="3">
      <t>カイハツ</t>
    </rPh>
    <rPh sb="4" eb="5">
      <t>シン</t>
    </rPh>
    <rPh sb="5" eb="7">
      <t>カイハツ</t>
    </rPh>
    <rPh sb="7" eb="9">
      <t>カンキョウ</t>
    </rPh>
    <rPh sb="9" eb="11">
      <t>コウチク</t>
    </rPh>
    <phoneticPr fontId="1"/>
  </si>
  <si>
    <t xml:space="preserve"> 【開発】AI　新開発環境　構築</t>
    <rPh sb="14" eb="16">
      <t>コウチク</t>
    </rPh>
    <phoneticPr fontId="1"/>
  </si>
  <si>
    <t>　セキュリティ対策</t>
    <rPh sb="7" eb="9">
      <t>タイサク</t>
    </rPh>
    <phoneticPr fontId="1"/>
  </si>
  <si>
    <t>　ソース管理設定</t>
    <rPh sb="4" eb="6">
      <t>カンリ</t>
    </rPh>
    <rPh sb="6" eb="8">
      <t>セッテイ</t>
    </rPh>
    <phoneticPr fontId="1"/>
  </si>
  <si>
    <t>　開発ルール設定</t>
    <rPh sb="1" eb="3">
      <t>カイハツ</t>
    </rPh>
    <rPh sb="6" eb="8">
      <t>セッテイ</t>
    </rPh>
    <phoneticPr fontId="1"/>
  </si>
  <si>
    <t xml:space="preserve"> 【開発】AI　CAD連携PG作成</t>
    <rPh sb="2" eb="4">
      <t>カイハツ</t>
    </rPh>
    <rPh sb="11" eb="13">
      <t>レンケイ</t>
    </rPh>
    <rPh sb="15" eb="17">
      <t>サクセイ</t>
    </rPh>
    <phoneticPr fontId="5"/>
  </si>
  <si>
    <t xml:space="preserve"> 【開発】AI　図面読み取りPG作成</t>
    <rPh sb="2" eb="4">
      <t>カイハツ</t>
    </rPh>
    <rPh sb="8" eb="10">
      <t>ズメン</t>
    </rPh>
    <rPh sb="10" eb="11">
      <t>ヨ</t>
    </rPh>
    <rPh sb="12" eb="13">
      <t>ト</t>
    </rPh>
    <rPh sb="16" eb="18">
      <t>サクセイ</t>
    </rPh>
    <phoneticPr fontId="5"/>
  </si>
  <si>
    <t>開発　出走結果報告</t>
  </si>
  <si>
    <t>4月度　メールマジック文作成　→報告（月初送信）</t>
  </si>
  <si>
    <t>西川講師　リハーサル　10時～</t>
  </si>
  <si>
    <t>3月度　メールマジックアンケート文送信</t>
  </si>
  <si>
    <t>建築　RPA説明会向け　資料作成</t>
  </si>
  <si>
    <t>Webセミナー社内申込者　受付反映（追加分、経理用）</t>
  </si>
  <si>
    <t>マニュアル整理</t>
    <rPh sb="5" eb="7">
      <t>セイリ</t>
    </rPh>
    <phoneticPr fontId="5"/>
  </si>
  <si>
    <t xml:space="preserve"> 【週次】SNS投稿　草地和牛</t>
    <rPh sb="2" eb="3">
      <t>シュウ</t>
    </rPh>
    <rPh sb="8" eb="10">
      <t>トウコウ</t>
    </rPh>
    <rPh sb="11" eb="15">
      <t>クサチワギュウ</t>
    </rPh>
    <phoneticPr fontId="5"/>
  </si>
  <si>
    <t>産駒情報更新</t>
    <phoneticPr fontId="5"/>
  </si>
  <si>
    <t>席替え</t>
    <rPh sb="0" eb="2">
      <t>セキガ</t>
    </rPh>
    <phoneticPr fontId="5"/>
  </si>
  <si>
    <t>Zoomphone設定</t>
    <rPh sb="9" eb="11">
      <t>セッテイ</t>
    </rPh>
    <phoneticPr fontId="5"/>
  </si>
  <si>
    <t>UNUN前書き作成</t>
    <rPh sb="4" eb="6">
      <t>マエガ</t>
    </rPh>
    <rPh sb="7" eb="9">
      <t>サクセイ</t>
    </rPh>
    <phoneticPr fontId="1"/>
  </si>
  <si>
    <t xml:space="preserve"> 【開発】AI　新開発環境　共同作業</t>
    <rPh sb="2" eb="4">
      <t>カイハツ</t>
    </rPh>
    <rPh sb="8" eb="9">
      <t>シン</t>
    </rPh>
    <rPh sb="9" eb="11">
      <t>カイハツ</t>
    </rPh>
    <rPh sb="11" eb="13">
      <t>カンキョウ</t>
    </rPh>
    <rPh sb="14" eb="16">
      <t>キョウドウ</t>
    </rPh>
    <rPh sb="16" eb="18">
      <t>サギョウ</t>
    </rPh>
    <phoneticPr fontId="5"/>
  </si>
  <si>
    <t xml:space="preserve"> 【開発】AI　画像解析　新図面読み取り</t>
    <rPh sb="8" eb="10">
      <t>ガゾウ</t>
    </rPh>
    <rPh sb="10" eb="12">
      <t>カイセキ</t>
    </rPh>
    <rPh sb="13" eb="14">
      <t>シン</t>
    </rPh>
    <rPh sb="14" eb="16">
      <t>ズメン</t>
    </rPh>
    <rPh sb="16" eb="17">
      <t>ヨ</t>
    </rPh>
    <rPh sb="18" eb="19">
      <t>ト</t>
    </rPh>
    <phoneticPr fontId="5"/>
  </si>
  <si>
    <t xml:space="preserve"> 【開発】AI　画像解析　新図面読み取り</t>
    <phoneticPr fontId="5"/>
  </si>
  <si>
    <t>採用面談</t>
    <phoneticPr fontId="5"/>
  </si>
  <si>
    <t xml:space="preserve"> 【開発】AI　CAD連携対応</t>
    <rPh sb="2" eb="4">
      <t>カイハツ</t>
    </rPh>
    <rPh sb="11" eb="13">
      <t>レンケイ</t>
    </rPh>
    <rPh sb="13" eb="15">
      <t>タイオウ</t>
    </rPh>
    <phoneticPr fontId="5"/>
  </si>
  <si>
    <t xml:space="preserve"> 【開発】AI　CAD連携対応</t>
    <rPh sb="2" eb="4">
      <t>カイハツ</t>
    </rPh>
    <rPh sb="11" eb="13">
      <t>レンケイ</t>
    </rPh>
    <rPh sb="13" eb="15">
      <t>タイオウ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</si>
</sst>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d"/>
    <numFmt numFmtId="178" formatCode="0.0_);[Red]\(0.0\)"/>
  </numFmts>
  <fonts count="3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8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name val="Yu Gothic"/>
      <family val="2"/>
      <scheme val="minor"/>
    </font>
    <font>
      <b/>
      <sz val="9"/>
      <color indexed="81"/>
      <name val="MS P ゴシック"/>
      <family val="3"/>
      <charset val="128"/>
    </font>
    <font>
      <b/>
      <sz val="22"/>
      <color theme="1"/>
      <name val="Yu Gothic"/>
      <family val="3"/>
      <charset val="128"/>
      <scheme val="minor"/>
    </font>
    <font>
      <sz val="22"/>
      <name val="ＭＳ Ｐゴシック"/>
      <family val="3"/>
      <charset val="128"/>
    </font>
    <font>
      <b/>
      <sz val="24"/>
      <color theme="1"/>
      <name val="Yu Gothic"/>
      <family val="3"/>
      <charset val="128"/>
      <scheme val="minor"/>
    </font>
    <font>
      <sz val="16"/>
      <color theme="1"/>
      <name val="Yu Gothic"/>
      <family val="3"/>
      <charset val="128"/>
      <scheme val="minor"/>
    </font>
    <font>
      <sz val="11"/>
      <color rgb="FFFFFF00"/>
      <name val="ＭＳ Ｐゴシック"/>
      <family val="3"/>
      <charset val="128"/>
    </font>
    <font>
      <sz val="16"/>
      <name val="Yu Gothic"/>
      <family val="2"/>
      <scheme val="minor"/>
    </font>
    <font>
      <sz val="1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sz val="11"/>
      <color rgb="FFFF0000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sz val="11"/>
      <color rgb="FF9C5700"/>
      <name val="Yu Gothic"/>
      <family val="2"/>
      <charset val="128"/>
      <scheme val="minor"/>
    </font>
    <font>
      <b/>
      <sz val="10"/>
      <name val="ＭＳ Ｐゴシック"/>
      <family val="3"/>
      <charset val="128"/>
    </font>
    <font>
      <b/>
      <sz val="11"/>
      <name val="Yu Gothic"/>
      <family val="3"/>
      <charset val="128"/>
      <scheme val="minor"/>
    </font>
    <font>
      <sz val="11"/>
      <color rgb="FFFFFF00"/>
      <name val="Yu Gothic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30" fillId="13" borderId="0" applyNumberFormat="0" applyBorder="0" applyAlignment="0" applyProtection="0">
      <alignment vertical="center"/>
    </xf>
  </cellStyleXfs>
  <cellXfs count="478">
    <xf numFmtId="0" fontId="0" fillId="0" borderId="0" xfId="0"/>
    <xf numFmtId="55" fontId="3" fillId="0" borderId="0" xfId="0" applyNumberFormat="1" applyFont="1"/>
    <xf numFmtId="55" fontId="4" fillId="0" borderId="0" xfId="0" applyNumberFormat="1" applyFont="1"/>
    <xf numFmtId="0" fontId="6" fillId="0" borderId="0" xfId="0" applyFont="1" applyAlignment="1">
      <alignment horizontal="center"/>
    </xf>
    <xf numFmtId="55" fontId="0" fillId="0" borderId="0" xfId="0" applyNumberFormat="1"/>
    <xf numFmtId="0" fontId="0" fillId="0" borderId="0" xfId="0" applyAlignment="1">
      <alignment vertical="center"/>
    </xf>
    <xf numFmtId="0" fontId="0" fillId="0" borderId="14" xfId="0" applyBorder="1" applyAlignment="1" applyProtection="1">
      <alignment horizontal="center" shrinkToFit="1"/>
      <protection locked="0"/>
    </xf>
    <xf numFmtId="0" fontId="0" fillId="0" borderId="19" xfId="0" applyBorder="1" applyAlignment="1" applyProtection="1">
      <alignment horizontal="center" shrinkToFit="1"/>
      <protection locked="0"/>
    </xf>
    <xf numFmtId="0" fontId="10" fillId="0" borderId="0" xfId="0" applyFont="1" applyAlignment="1" applyProtection="1">
      <alignment horizontal="left" shrinkToFit="1"/>
      <protection locked="0"/>
    </xf>
    <xf numFmtId="0" fontId="0" fillId="0" borderId="25" xfId="0" applyBorder="1" applyAlignment="1" applyProtection="1">
      <alignment horizontal="center" shrinkToFit="1"/>
      <protection locked="0"/>
    </xf>
    <xf numFmtId="0" fontId="0" fillId="5" borderId="25" xfId="0" applyFill="1" applyBorder="1" applyAlignment="1" applyProtection="1">
      <alignment horizontal="center" shrinkToFit="1"/>
      <protection locked="0"/>
    </xf>
    <xf numFmtId="0" fontId="0" fillId="0" borderId="0" xfId="0" applyAlignment="1" applyProtection="1">
      <alignment shrinkToFit="1"/>
      <protection locked="0"/>
    </xf>
    <xf numFmtId="0" fontId="0" fillId="0" borderId="29" xfId="0" applyBorder="1" applyAlignment="1" applyProtection="1">
      <alignment horizontal="center" shrinkToFit="1"/>
      <protection locked="0"/>
    </xf>
    <xf numFmtId="0" fontId="0" fillId="6" borderId="19" xfId="0" applyFill="1" applyBorder="1" applyAlignment="1" applyProtection="1">
      <alignment horizontal="center" shrinkToFit="1"/>
      <protection locked="0"/>
    </xf>
    <xf numFmtId="0" fontId="0" fillId="6" borderId="14" xfId="0" applyFill="1" applyBorder="1" applyAlignment="1" applyProtection="1">
      <alignment horizontal="center" shrinkToFit="1"/>
      <protection locked="0"/>
    </xf>
    <xf numFmtId="0" fontId="0" fillId="7" borderId="19" xfId="0" applyFill="1" applyBorder="1" applyAlignment="1" applyProtection="1">
      <alignment horizontal="center" shrinkToFit="1"/>
      <protection locked="0"/>
    </xf>
    <xf numFmtId="176" fontId="0" fillId="0" borderId="19" xfId="0" applyNumberFormat="1" applyBorder="1" applyAlignment="1" applyProtection="1">
      <alignment horizontal="center" shrinkToFit="1"/>
      <protection locked="0"/>
    </xf>
    <xf numFmtId="0" fontId="0" fillId="0" borderId="32" xfId="0" applyBorder="1"/>
    <xf numFmtId="0" fontId="12" fillId="0" borderId="31" xfId="0" applyFont="1" applyBorder="1" applyAlignment="1">
      <alignment horizontal="center"/>
    </xf>
    <xf numFmtId="176" fontId="0" fillId="7" borderId="19" xfId="0" applyNumberFormat="1" applyFill="1" applyBorder="1" applyAlignment="1" applyProtection="1">
      <alignment horizontal="center" shrinkToFit="1"/>
      <protection locked="0"/>
    </xf>
    <xf numFmtId="0" fontId="13" fillId="0" borderId="19" xfId="0" applyFont="1" applyBorder="1" applyAlignment="1" applyProtection="1">
      <alignment horizontal="center" shrinkToFit="1"/>
      <protection locked="0"/>
    </xf>
    <xf numFmtId="0" fontId="13" fillId="0" borderId="14" xfId="0" applyFont="1" applyBorder="1" applyAlignment="1" applyProtection="1">
      <alignment horizontal="center" shrinkToFit="1"/>
      <protection locked="0"/>
    </xf>
    <xf numFmtId="0" fontId="0" fillId="7" borderId="25" xfId="0" applyFill="1" applyBorder="1" applyAlignment="1" applyProtection="1">
      <alignment horizontal="center" shrinkToFit="1"/>
      <protection locked="0"/>
    </xf>
    <xf numFmtId="0" fontId="0" fillId="8" borderId="19" xfId="0" applyFill="1" applyBorder="1" applyAlignment="1" applyProtection="1">
      <alignment horizontal="center" shrinkToFit="1"/>
      <protection locked="0"/>
    </xf>
    <xf numFmtId="0" fontId="14" fillId="0" borderId="19" xfId="0" applyFont="1" applyBorder="1" applyAlignment="1" applyProtection="1">
      <alignment horizontal="center" shrinkToFit="1"/>
      <protection locked="0"/>
    </xf>
    <xf numFmtId="0" fontId="0" fillId="8" borderId="29" xfId="0" applyFill="1" applyBorder="1" applyAlignment="1" applyProtection="1">
      <alignment horizontal="center" shrinkToFit="1"/>
      <protection locked="0"/>
    </xf>
    <xf numFmtId="0" fontId="0" fillId="8" borderId="25" xfId="0" applyFill="1" applyBorder="1" applyAlignment="1" applyProtection="1">
      <alignment horizontal="center" shrinkToFit="1"/>
      <protection locked="0"/>
    </xf>
    <xf numFmtId="0" fontId="0" fillId="5" borderId="19" xfId="0" applyFill="1" applyBorder="1" applyAlignment="1" applyProtection="1">
      <alignment horizontal="center" shrinkToFit="1"/>
      <protection locked="0"/>
    </xf>
    <xf numFmtId="0" fontId="15" fillId="8" borderId="19" xfId="0" applyFont="1" applyFill="1" applyBorder="1" applyAlignment="1" applyProtection="1">
      <alignment horizontal="center" shrinkToFit="1"/>
      <protection locked="0"/>
    </xf>
    <xf numFmtId="0" fontId="16" fillId="0" borderId="19" xfId="0" applyFont="1" applyBorder="1" applyAlignment="1" applyProtection="1">
      <alignment horizontal="center" shrinkToFit="1"/>
      <protection locked="0"/>
    </xf>
    <xf numFmtId="0" fontId="15" fillId="8" borderId="29" xfId="0" applyFont="1" applyFill="1" applyBorder="1" applyAlignment="1" applyProtection="1">
      <alignment horizontal="center" shrinkToFit="1"/>
      <protection locked="0"/>
    </xf>
    <xf numFmtId="0" fontId="15" fillId="8" borderId="25" xfId="0" applyFont="1" applyFill="1" applyBorder="1" applyAlignment="1" applyProtection="1">
      <alignment horizontal="center" shrinkToFit="1"/>
      <protection locked="0"/>
    </xf>
    <xf numFmtId="0" fontId="0" fillId="9" borderId="19" xfId="0" applyFill="1" applyBorder="1" applyAlignment="1" applyProtection="1">
      <alignment horizontal="center" shrinkToFit="1"/>
      <protection locked="0"/>
    </xf>
    <xf numFmtId="0" fontId="14" fillId="0" borderId="14" xfId="0" applyFont="1" applyBorder="1" applyAlignment="1" applyProtection="1">
      <alignment horizontal="center" shrinkToFit="1"/>
      <protection locked="0"/>
    </xf>
    <xf numFmtId="0" fontId="0" fillId="0" borderId="33" xfId="0" applyBorder="1" applyAlignment="1" applyProtection="1">
      <alignment horizontal="center" shrinkToFit="1"/>
      <protection locked="0"/>
    </xf>
    <xf numFmtId="0" fontId="14" fillId="0" borderId="25" xfId="0" applyFont="1" applyBorder="1" applyAlignment="1" applyProtection="1">
      <alignment horizontal="center" shrinkToFit="1"/>
      <protection locked="0"/>
    </xf>
    <xf numFmtId="0" fontId="14" fillId="0" borderId="29" xfId="0" applyFont="1" applyBorder="1" applyAlignment="1" applyProtection="1">
      <alignment horizontal="center" shrinkToFit="1"/>
      <protection locked="0"/>
    </xf>
    <xf numFmtId="0" fontId="17" fillId="8" borderId="19" xfId="0" applyFont="1" applyFill="1" applyBorder="1" applyAlignment="1" applyProtection="1">
      <alignment horizontal="center" shrinkToFit="1"/>
      <protection locked="0"/>
    </xf>
    <xf numFmtId="0" fontId="13" fillId="8" borderId="19" xfId="0" applyFont="1" applyFill="1" applyBorder="1" applyAlignment="1" applyProtection="1">
      <alignment horizontal="center" shrinkToFit="1"/>
      <protection locked="0"/>
    </xf>
    <xf numFmtId="0" fontId="13" fillId="8" borderId="29" xfId="0" applyFont="1" applyFill="1" applyBorder="1" applyAlignment="1" applyProtection="1">
      <alignment horizontal="center" shrinkToFit="1"/>
      <protection locked="0"/>
    </xf>
    <xf numFmtId="0" fontId="13" fillId="8" borderId="25" xfId="0" applyFont="1" applyFill="1" applyBorder="1" applyAlignment="1" applyProtection="1">
      <alignment horizontal="center" shrinkToFit="1"/>
      <protection locked="0"/>
    </xf>
    <xf numFmtId="0" fontId="0" fillId="0" borderId="29" xfId="0" applyBorder="1" applyAlignment="1" applyProtection="1">
      <alignment horizontal="center" vertical="center" shrinkToFit="1"/>
      <protection locked="0"/>
    </xf>
    <xf numFmtId="0" fontId="0" fillId="0" borderId="37" xfId="0" applyBorder="1" applyAlignment="1" applyProtection="1">
      <alignment horizontal="center" shrinkToFit="1"/>
      <protection locked="0"/>
    </xf>
    <xf numFmtId="0" fontId="0" fillId="0" borderId="36" xfId="0" applyBorder="1" applyAlignment="1" applyProtection="1">
      <alignment horizontal="center" shrinkToFit="1"/>
      <protection locked="0"/>
    </xf>
    <xf numFmtId="0" fontId="13" fillId="0" borderId="29" xfId="0" applyFont="1" applyBorder="1" applyAlignment="1" applyProtection="1">
      <alignment horizontal="center" shrinkToFit="1"/>
      <protection locked="0"/>
    </xf>
    <xf numFmtId="0" fontId="13" fillId="0" borderId="25" xfId="0" applyFont="1" applyBorder="1" applyAlignment="1" applyProtection="1">
      <alignment horizontal="center" shrinkToFit="1"/>
      <protection locked="0"/>
    </xf>
    <xf numFmtId="0" fontId="17" fillId="8" borderId="14" xfId="0" applyFont="1" applyFill="1" applyBorder="1" applyAlignment="1" applyProtection="1">
      <alignment horizontal="center" shrinkToFit="1"/>
      <protection locked="0"/>
    </xf>
    <xf numFmtId="176" fontId="14" fillId="5" borderId="19" xfId="0" applyNumberFormat="1" applyFont="1" applyFill="1" applyBorder="1" applyAlignment="1" applyProtection="1">
      <alignment horizontal="center" shrinkToFit="1"/>
      <protection locked="0"/>
    </xf>
    <xf numFmtId="55" fontId="2" fillId="10" borderId="0" xfId="0" applyNumberFormat="1" applyFont="1" applyFill="1"/>
    <xf numFmtId="0" fontId="0" fillId="8" borderId="0" xfId="0" applyFill="1" applyAlignment="1">
      <alignment horizontal="center" vertical="center"/>
    </xf>
    <xf numFmtId="0" fontId="0" fillId="0" borderId="18" xfId="0" applyBorder="1" applyAlignment="1" applyProtection="1">
      <alignment horizontal="left" shrinkToFit="1"/>
      <protection locked="0"/>
    </xf>
    <xf numFmtId="0" fontId="0" fillId="0" borderId="20" xfId="0" applyBorder="1" applyAlignment="1" applyProtection="1">
      <alignment horizontal="left" shrinkToFit="1"/>
      <protection locked="0"/>
    </xf>
    <xf numFmtId="0" fontId="0" fillId="0" borderId="5" xfId="0" applyBorder="1" applyAlignment="1" applyProtection="1">
      <alignment horizontal="center" shrinkToFit="1"/>
      <protection locked="0"/>
    </xf>
    <xf numFmtId="55" fontId="2" fillId="10" borderId="0" xfId="0" applyNumberFormat="1" applyFont="1" applyFill="1" applyAlignment="1">
      <alignment shrinkToFit="1"/>
    </xf>
    <xf numFmtId="0" fontId="23" fillId="0" borderId="19" xfId="0" applyFont="1" applyBorder="1" applyAlignment="1" applyProtection="1">
      <alignment horizontal="center" shrinkToFit="1"/>
      <protection locked="0"/>
    </xf>
    <xf numFmtId="0" fontId="23" fillId="0" borderId="29" xfId="0" applyFont="1" applyBorder="1" applyAlignment="1" applyProtection="1">
      <alignment horizontal="center" shrinkToFit="1"/>
      <protection locked="0"/>
    </xf>
    <xf numFmtId="0" fontId="17" fillId="0" borderId="19" xfId="0" applyFont="1" applyBorder="1" applyAlignment="1" applyProtection="1">
      <alignment horizontal="center" shrinkToFit="1"/>
      <protection locked="0"/>
    </xf>
    <xf numFmtId="0" fontId="17" fillId="0" borderId="25" xfId="0" applyFont="1" applyBorder="1" applyAlignment="1" applyProtection="1">
      <alignment horizontal="center" shrinkToFit="1"/>
      <protection locked="0"/>
    </xf>
    <xf numFmtId="0" fontId="17" fillId="0" borderId="36" xfId="0" applyFont="1" applyBorder="1" applyAlignment="1" applyProtection="1">
      <alignment horizontal="center" shrinkToFit="1"/>
      <protection locked="0"/>
    </xf>
    <xf numFmtId="0" fontId="0" fillId="9" borderId="25" xfId="0" applyFill="1" applyBorder="1" applyAlignment="1" applyProtection="1">
      <alignment horizontal="center" shrinkToFit="1"/>
      <protection locked="0"/>
    </xf>
    <xf numFmtId="0" fontId="13" fillId="9" borderId="25" xfId="0" applyFont="1" applyFill="1" applyBorder="1" applyAlignment="1" applyProtection="1">
      <alignment horizontal="center" shrinkToFit="1"/>
      <protection locked="0"/>
    </xf>
    <xf numFmtId="0" fontId="13" fillId="9" borderId="14" xfId="0" applyFont="1" applyFill="1" applyBorder="1" applyAlignment="1" applyProtection="1">
      <alignment horizontal="center" shrinkToFit="1"/>
      <protection locked="0"/>
    </xf>
    <xf numFmtId="0" fontId="13" fillId="9" borderId="19" xfId="0" applyFont="1" applyFill="1" applyBorder="1" applyAlignment="1" applyProtection="1">
      <alignment horizontal="center" shrinkToFit="1"/>
      <protection locked="0"/>
    </xf>
    <xf numFmtId="0" fontId="0" fillId="9" borderId="36" xfId="0" applyFill="1" applyBorder="1" applyAlignment="1" applyProtection="1">
      <alignment horizontal="center" shrinkToFit="1"/>
      <protection locked="0"/>
    </xf>
    <xf numFmtId="0" fontId="13" fillId="9" borderId="29" xfId="0" applyFont="1" applyFill="1" applyBorder="1" applyAlignment="1" applyProtection="1">
      <alignment horizontal="center" shrinkToFit="1"/>
      <protection locked="0"/>
    </xf>
    <xf numFmtId="0" fontId="17" fillId="9" borderId="14" xfId="0" applyFont="1" applyFill="1" applyBorder="1" applyAlignment="1" applyProtection="1">
      <alignment horizontal="center" shrinkToFit="1"/>
      <protection locked="0"/>
    </xf>
    <xf numFmtId="0" fontId="17" fillId="9" borderId="19" xfId="0" applyFont="1" applyFill="1" applyBorder="1" applyAlignment="1" applyProtection="1">
      <alignment horizontal="center" shrinkToFit="1"/>
      <protection locked="0"/>
    </xf>
    <xf numFmtId="0" fontId="17" fillId="9" borderId="29" xfId="0" applyFont="1" applyFill="1" applyBorder="1" applyAlignment="1" applyProtection="1">
      <alignment horizontal="center" shrinkToFit="1"/>
      <protection locked="0"/>
    </xf>
    <xf numFmtId="0" fontId="17" fillId="9" borderId="25" xfId="0" applyFont="1" applyFill="1" applyBorder="1" applyAlignment="1" applyProtection="1">
      <alignment horizontal="center" shrinkToFit="1"/>
      <protection locked="0"/>
    </xf>
    <xf numFmtId="178" fontId="0" fillId="0" borderId="19" xfId="0" applyNumberFormat="1" applyBorder="1" applyAlignment="1" applyProtection="1">
      <alignment horizontal="center" shrinkToFit="1"/>
      <protection locked="0"/>
    </xf>
    <xf numFmtId="178" fontId="13" fillId="0" borderId="25" xfId="0" applyNumberFormat="1" applyFont="1" applyBorder="1" applyAlignment="1" applyProtection="1">
      <alignment horizontal="center" shrinkToFit="1"/>
      <protection locked="0"/>
    </xf>
    <xf numFmtId="0" fontId="13" fillId="0" borderId="26" xfId="0" applyFont="1" applyBorder="1" applyAlignment="1" applyProtection="1">
      <alignment shrinkToFit="1"/>
      <protection locked="0"/>
    </xf>
    <xf numFmtId="0" fontId="13" fillId="0" borderId="24" xfId="0" applyFont="1" applyBorder="1" applyAlignment="1" applyProtection="1">
      <alignment shrinkToFit="1"/>
      <protection locked="0"/>
    </xf>
    <xf numFmtId="0" fontId="25" fillId="9" borderId="6" xfId="0" applyFont="1" applyFill="1" applyBorder="1" applyAlignment="1" applyProtection="1">
      <alignment vertical="center" shrinkToFit="1"/>
      <protection locked="0"/>
    </xf>
    <xf numFmtId="0" fontId="25" fillId="9" borderId="9" xfId="0" applyFont="1" applyFill="1" applyBorder="1" applyAlignment="1" applyProtection="1">
      <alignment vertical="center" shrinkToFit="1"/>
      <protection locked="0"/>
    </xf>
    <xf numFmtId="0" fontId="0" fillId="9" borderId="14" xfId="0" applyFill="1" applyBorder="1" applyAlignment="1" applyProtection="1">
      <alignment horizontal="center" shrinkToFit="1"/>
      <protection locked="0"/>
    </xf>
    <xf numFmtId="0" fontId="0" fillId="9" borderId="29" xfId="0" applyFill="1" applyBorder="1" applyAlignment="1" applyProtection="1">
      <alignment horizontal="center" shrinkToFit="1"/>
      <protection locked="0"/>
    </xf>
    <xf numFmtId="0" fontId="14" fillId="9" borderId="25" xfId="0" applyFont="1" applyFill="1" applyBorder="1" applyAlignment="1" applyProtection="1">
      <alignment horizontal="center" shrinkToFit="1"/>
      <protection locked="0"/>
    </xf>
    <xf numFmtId="0" fontId="0" fillId="9" borderId="18" xfId="0" applyFill="1" applyBorder="1" applyAlignment="1" applyProtection="1">
      <alignment shrinkToFit="1"/>
      <protection locked="0"/>
    </xf>
    <xf numFmtId="0" fontId="14" fillId="9" borderId="14" xfId="0" applyFont="1" applyFill="1" applyBorder="1" applyAlignment="1" applyProtection="1">
      <alignment horizontal="center" shrinkToFit="1"/>
      <protection locked="0"/>
    </xf>
    <xf numFmtId="0" fontId="14" fillId="9" borderId="19" xfId="0" applyFont="1" applyFill="1" applyBorder="1" applyAlignment="1" applyProtection="1">
      <alignment horizontal="center" shrinkToFit="1"/>
      <protection locked="0"/>
    </xf>
    <xf numFmtId="0" fontId="0" fillId="9" borderId="27" xfId="0" applyFill="1" applyBorder="1" applyAlignment="1" applyProtection="1">
      <alignment shrinkToFit="1"/>
      <protection locked="0"/>
    </xf>
    <xf numFmtId="0" fontId="0" fillId="9" borderId="13" xfId="0" applyFill="1" applyBorder="1" applyAlignment="1" applyProtection="1">
      <alignment shrinkToFit="1"/>
      <protection locked="0"/>
    </xf>
    <xf numFmtId="0" fontId="0" fillId="9" borderId="20" xfId="0" applyFill="1" applyBorder="1" applyAlignment="1" applyProtection="1">
      <alignment shrinkToFit="1"/>
      <protection locked="0"/>
    </xf>
    <xf numFmtId="0" fontId="0" fillId="9" borderId="30" xfId="0" applyFill="1" applyBorder="1" applyAlignment="1" applyProtection="1">
      <alignment shrinkToFit="1"/>
      <protection locked="0"/>
    </xf>
    <xf numFmtId="0" fontId="0" fillId="9" borderId="24" xfId="0" applyFill="1" applyBorder="1" applyAlignment="1" applyProtection="1">
      <alignment shrinkToFit="1"/>
      <protection locked="0"/>
    </xf>
    <xf numFmtId="0" fontId="14" fillId="9" borderId="20" xfId="0" applyFont="1" applyFill="1" applyBorder="1" applyAlignment="1" applyProtection="1">
      <alignment shrinkToFit="1"/>
      <protection locked="0"/>
    </xf>
    <xf numFmtId="0" fontId="14" fillId="9" borderId="18" xfId="0" applyFont="1" applyFill="1" applyBorder="1" applyAlignment="1" applyProtection="1">
      <alignment shrinkToFit="1"/>
      <protection locked="0"/>
    </xf>
    <xf numFmtId="0" fontId="0" fillId="9" borderId="26" xfId="0" applyFill="1" applyBorder="1" applyAlignment="1" applyProtection="1">
      <alignment shrinkToFit="1"/>
      <protection locked="0"/>
    </xf>
    <xf numFmtId="0" fontId="13" fillId="0" borderId="36" xfId="0" applyFont="1" applyBorder="1" applyAlignment="1" applyProtection="1">
      <alignment horizontal="center" shrinkToFit="1"/>
      <protection locked="0"/>
    </xf>
    <xf numFmtId="0" fontId="0" fillId="0" borderId="44" xfId="0" applyBorder="1" applyAlignment="1" applyProtection="1">
      <alignment horizontal="center" shrinkToFit="1"/>
      <protection locked="0"/>
    </xf>
    <xf numFmtId="176" fontId="0" fillId="0" borderId="36" xfId="0" applyNumberFormat="1" applyBorder="1" applyAlignment="1" applyProtection="1">
      <alignment horizontal="center" shrinkToFit="1"/>
      <protection locked="0"/>
    </xf>
    <xf numFmtId="0" fontId="17" fillId="0" borderId="14" xfId="0" applyFont="1" applyBorder="1" applyAlignment="1" applyProtection="1">
      <alignment horizontal="center" shrinkToFit="1"/>
      <protection locked="0"/>
    </xf>
    <xf numFmtId="0" fontId="13" fillId="9" borderId="10" xfId="0" applyFont="1" applyFill="1" applyBorder="1" applyAlignment="1" applyProtection="1">
      <alignment horizontal="center" shrinkToFit="1"/>
      <protection locked="0"/>
    </xf>
    <xf numFmtId="0" fontId="17" fillId="9" borderId="36" xfId="0" applyFont="1" applyFill="1" applyBorder="1" applyAlignment="1" applyProtection="1">
      <alignment horizontal="center" shrinkToFit="1"/>
      <protection locked="0"/>
    </xf>
    <xf numFmtId="0" fontId="10" fillId="0" borderId="15" xfId="0" applyFont="1" applyBorder="1" applyAlignment="1" applyProtection="1">
      <alignment shrinkToFit="1"/>
      <protection locked="0"/>
    </xf>
    <xf numFmtId="0" fontId="0" fillId="0" borderId="15" xfId="0" applyBorder="1" applyAlignment="1" applyProtection="1">
      <alignment shrinkToFit="1"/>
      <protection locked="0"/>
    </xf>
    <xf numFmtId="176" fontId="0" fillId="0" borderId="25" xfId="0" applyNumberFormat="1" applyBorder="1" applyAlignment="1" applyProtection="1">
      <alignment horizontal="center" shrinkToFit="1"/>
      <protection locked="0"/>
    </xf>
    <xf numFmtId="0" fontId="0" fillId="0" borderId="46" xfId="0" applyBorder="1"/>
    <xf numFmtId="0" fontId="17" fillId="0" borderId="39" xfId="0" applyFont="1" applyBorder="1" applyAlignment="1" applyProtection="1">
      <alignment horizontal="center" shrinkToFit="1"/>
      <protection locked="0"/>
    </xf>
    <xf numFmtId="0" fontId="0" fillId="0" borderId="39" xfId="0" applyBorder="1" applyAlignment="1" applyProtection="1">
      <alignment horizontal="center" shrinkToFit="1"/>
      <protection locked="0"/>
    </xf>
    <xf numFmtId="176" fontId="0" fillId="0" borderId="44" xfId="0" applyNumberFormat="1" applyBorder="1" applyAlignment="1" applyProtection="1">
      <alignment horizontal="center" shrinkToFit="1"/>
      <protection locked="0"/>
    </xf>
    <xf numFmtId="0" fontId="17" fillId="0" borderId="14" xfId="0" quotePrefix="1" applyFont="1" applyBorder="1" applyAlignment="1" applyProtection="1">
      <alignment horizontal="center" shrinkToFit="1"/>
      <protection locked="0"/>
    </xf>
    <xf numFmtId="0" fontId="0" fillId="8" borderId="0" xfId="0" applyFill="1" applyAlignment="1">
      <alignment horizontal="left" vertical="center"/>
    </xf>
    <xf numFmtId="176" fontId="17" fillId="0" borderId="19" xfId="0" quotePrefix="1" applyNumberFormat="1" applyFont="1" applyBorder="1" applyAlignment="1" applyProtection="1">
      <alignment horizontal="center" shrinkToFit="1"/>
      <protection locked="0"/>
    </xf>
    <xf numFmtId="176" fontId="17" fillId="0" borderId="14" xfId="0" quotePrefix="1" applyNumberFormat="1" applyFont="1" applyBorder="1" applyAlignment="1" applyProtection="1">
      <alignment horizontal="center" shrinkToFit="1"/>
      <protection locked="0"/>
    </xf>
    <xf numFmtId="176" fontId="17" fillId="9" borderId="36" xfId="0" applyNumberFormat="1" applyFont="1" applyFill="1" applyBorder="1" applyAlignment="1" applyProtection="1">
      <alignment horizontal="center" shrinkToFit="1"/>
      <protection locked="0"/>
    </xf>
    <xf numFmtId="176" fontId="17" fillId="0" borderId="14" xfId="0" applyNumberFormat="1" applyFont="1" applyBorder="1" applyAlignment="1" applyProtection="1">
      <alignment horizontal="center" shrinkToFit="1"/>
      <protection locked="0"/>
    </xf>
    <xf numFmtId="0" fontId="13" fillId="0" borderId="10" xfId="0" applyFont="1" applyBorder="1" applyAlignment="1" applyProtection="1">
      <alignment horizontal="center" shrinkToFit="1"/>
      <protection locked="0"/>
    </xf>
    <xf numFmtId="2" fontId="17" fillId="0" borderId="19" xfId="0" quotePrefix="1" applyNumberFormat="1" applyFont="1" applyBorder="1" applyAlignment="1" applyProtection="1">
      <alignment horizontal="center" shrinkToFit="1"/>
      <protection locked="0"/>
    </xf>
    <xf numFmtId="0" fontId="4" fillId="0" borderId="29" xfId="0" applyFont="1" applyBorder="1" applyAlignment="1" applyProtection="1">
      <alignment horizontal="center" shrinkToFit="1"/>
      <protection locked="0"/>
    </xf>
    <xf numFmtId="0" fontId="28" fillId="9" borderId="36" xfId="0" applyFont="1" applyFill="1" applyBorder="1" applyAlignment="1" applyProtection="1">
      <alignment horizontal="center" shrinkToFit="1"/>
      <protection locked="0"/>
    </xf>
    <xf numFmtId="0" fontId="28" fillId="9" borderId="25" xfId="0" applyFont="1" applyFill="1" applyBorder="1" applyAlignment="1" applyProtection="1">
      <alignment horizontal="center" shrinkToFit="1"/>
      <protection locked="0"/>
    </xf>
    <xf numFmtId="0" fontId="28" fillId="9" borderId="19" xfId="0" applyFont="1" applyFill="1" applyBorder="1" applyAlignment="1" applyProtection="1">
      <alignment horizontal="center" shrinkToFit="1"/>
      <protection locked="0"/>
    </xf>
    <xf numFmtId="0" fontId="0" fillId="9" borderId="10" xfId="0" applyFill="1" applyBorder="1" applyAlignment="1" applyProtection="1">
      <alignment horizontal="center" shrinkToFit="1"/>
      <protection locked="0"/>
    </xf>
    <xf numFmtId="0" fontId="28" fillId="11" borderId="25" xfId="0" applyFont="1" applyFill="1" applyBorder="1" applyAlignment="1" applyProtection="1">
      <alignment horizontal="center" shrinkToFit="1"/>
      <protection locked="0"/>
    </xf>
    <xf numFmtId="0" fontId="28" fillId="0" borderId="36" xfId="0" applyFont="1" applyBorder="1" applyAlignment="1" applyProtection="1">
      <alignment horizontal="center" shrinkToFit="1"/>
      <protection locked="0"/>
    </xf>
    <xf numFmtId="0" fontId="28" fillId="0" borderId="19" xfId="0" applyFont="1" applyBorder="1" applyAlignment="1" applyProtection="1">
      <alignment horizontal="center" shrinkToFit="1"/>
      <protection locked="0"/>
    </xf>
    <xf numFmtId="0" fontId="28" fillId="0" borderId="25" xfId="0" applyFont="1" applyBorder="1" applyAlignment="1" applyProtection="1">
      <alignment horizontal="center" shrinkToFit="1"/>
      <protection locked="0"/>
    </xf>
    <xf numFmtId="0" fontId="28" fillId="0" borderId="10" xfId="0" applyFont="1" applyBorder="1" applyAlignment="1" applyProtection="1">
      <alignment horizontal="center" shrinkToFit="1"/>
      <protection locked="0"/>
    </xf>
    <xf numFmtId="0" fontId="28" fillId="9" borderId="10" xfId="0" applyFont="1" applyFill="1" applyBorder="1" applyAlignment="1" applyProtection="1">
      <alignment horizontal="center" shrinkToFit="1"/>
      <protection locked="0"/>
    </xf>
    <xf numFmtId="0" fontId="0" fillId="12" borderId="14" xfId="0" applyFill="1" applyBorder="1" applyAlignment="1" applyProtection="1">
      <alignment horizontal="center" shrinkToFit="1"/>
      <protection locked="0"/>
    </xf>
    <xf numFmtId="0" fontId="0" fillId="12" borderId="19" xfId="0" applyFill="1" applyBorder="1" applyAlignment="1" applyProtection="1">
      <alignment horizontal="center" shrinkToFit="1"/>
      <protection locked="0"/>
    </xf>
    <xf numFmtId="0" fontId="0" fillId="12" borderId="25" xfId="0" applyFill="1" applyBorder="1" applyAlignment="1" applyProtection="1">
      <alignment horizontal="center" shrinkToFit="1"/>
      <protection locked="0"/>
    </xf>
    <xf numFmtId="0" fontId="9" fillId="3" borderId="0" xfId="0" applyFont="1" applyFill="1" applyAlignment="1">
      <alignment horizontal="center" vertical="center" textRotation="255"/>
    </xf>
    <xf numFmtId="0" fontId="12" fillId="0" borderId="0" xfId="0" applyFont="1" applyAlignment="1">
      <alignment horizontal="center"/>
    </xf>
    <xf numFmtId="0" fontId="0" fillId="0" borderId="48" xfId="0" applyBorder="1" applyAlignment="1" applyProtection="1">
      <alignment horizontal="center" shrinkToFit="1"/>
      <protection locked="0"/>
    </xf>
    <xf numFmtId="0" fontId="11" fillId="0" borderId="31" xfId="0" applyFont="1" applyBorder="1" applyAlignment="1">
      <alignment horizontal="center"/>
    </xf>
    <xf numFmtId="0" fontId="11" fillId="0" borderId="14" xfId="0" applyFont="1" applyBorder="1" applyAlignment="1" applyProtection="1">
      <alignment horizontal="center" shrinkToFit="1"/>
      <protection locked="0"/>
    </xf>
    <xf numFmtId="0" fontId="11" fillId="0" borderId="19" xfId="0" applyFont="1" applyBorder="1" applyAlignment="1" applyProtection="1">
      <alignment horizontal="center" shrinkToFit="1"/>
      <protection locked="0"/>
    </xf>
    <xf numFmtId="0" fontId="11" fillId="0" borderId="29" xfId="0" applyFont="1" applyBorder="1" applyAlignment="1" applyProtection="1">
      <alignment horizontal="center" shrinkToFit="1"/>
      <protection locked="0"/>
    </xf>
    <xf numFmtId="0" fontId="11" fillId="0" borderId="25" xfId="0" applyFont="1" applyBorder="1" applyAlignment="1" applyProtection="1">
      <alignment horizontal="center" shrinkToFit="1"/>
      <protection locked="0"/>
    </xf>
    <xf numFmtId="0" fontId="11" fillId="0" borderId="32" xfId="0" applyFont="1" applyBorder="1"/>
    <xf numFmtId="0" fontId="33" fillId="0" borderId="29" xfId="0" applyFont="1" applyBorder="1" applyAlignment="1" applyProtection="1">
      <alignment horizontal="center" shrinkToFit="1"/>
      <protection locked="0"/>
    </xf>
    <xf numFmtId="0" fontId="33" fillId="0" borderId="25" xfId="0" applyFont="1" applyBorder="1" applyAlignment="1" applyProtection="1">
      <alignment horizontal="center" shrinkToFit="1"/>
      <protection locked="0"/>
    </xf>
    <xf numFmtId="0" fontId="11" fillId="0" borderId="20" xfId="0" applyFont="1" applyBorder="1" applyAlignment="1" applyProtection="1">
      <alignment horizontal="left" shrinkToFit="1"/>
      <protection locked="0"/>
    </xf>
    <xf numFmtId="0" fontId="11" fillId="0" borderId="18" xfId="0" applyFont="1" applyBorder="1" applyAlignment="1" applyProtection="1">
      <alignment horizontal="left" shrinkToFit="1"/>
      <protection locked="0"/>
    </xf>
    <xf numFmtId="0" fontId="0" fillId="0" borderId="0" xfId="0" applyAlignment="1">
      <alignment horizontal="center" vertical="center" textRotation="255"/>
    </xf>
    <xf numFmtId="0" fontId="9" fillId="4" borderId="11" xfId="0" applyFont="1" applyFill="1" applyBorder="1" applyAlignment="1">
      <alignment horizontal="center" vertical="center" textRotation="255"/>
    </xf>
    <xf numFmtId="0" fontId="9" fillId="4" borderId="16" xfId="0" applyFont="1" applyFill="1" applyBorder="1" applyAlignment="1">
      <alignment horizontal="center" vertical="center" textRotation="255"/>
    </xf>
    <xf numFmtId="0" fontId="9" fillId="4" borderId="22" xfId="0" applyFont="1" applyFill="1" applyBorder="1" applyAlignment="1">
      <alignment horizontal="center" vertical="center" textRotation="255"/>
    </xf>
    <xf numFmtId="0" fontId="28" fillId="0" borderId="20" xfId="0" applyFont="1" applyBorder="1" applyAlignment="1" applyProtection="1">
      <alignment horizontal="left" shrinkToFit="1"/>
      <protection locked="0"/>
    </xf>
    <xf numFmtId="0" fontId="28" fillId="0" borderId="18" xfId="0" applyFont="1" applyBorder="1" applyAlignment="1" applyProtection="1">
      <alignment horizontal="left" shrinkToFit="1"/>
      <protection locked="0"/>
    </xf>
    <xf numFmtId="0" fontId="11" fillId="0" borderId="27" xfId="0" applyFont="1" applyBorder="1" applyAlignment="1" applyProtection="1">
      <alignment horizontal="left" shrinkToFit="1"/>
      <protection locked="0"/>
    </xf>
    <xf numFmtId="0" fontId="11" fillId="0" borderId="13" xfId="0" applyFont="1" applyBorder="1" applyAlignment="1" applyProtection="1">
      <alignment horizontal="left" shrinkToFit="1"/>
      <protection locked="0"/>
    </xf>
    <xf numFmtId="0" fontId="11" fillId="0" borderId="30" xfId="0" applyFont="1" applyBorder="1" applyAlignment="1" applyProtection="1">
      <alignment shrinkToFit="1"/>
      <protection locked="0"/>
    </xf>
    <xf numFmtId="0" fontId="11" fillId="0" borderId="24" xfId="0" applyFont="1" applyBorder="1" applyAlignment="1" applyProtection="1">
      <alignment shrinkToFit="1"/>
      <protection locked="0"/>
    </xf>
    <xf numFmtId="0" fontId="28" fillId="9" borderId="20" xfId="0" applyFont="1" applyFill="1" applyBorder="1" applyAlignment="1" applyProtection="1">
      <alignment horizontal="left" shrinkToFit="1"/>
      <protection locked="0"/>
    </xf>
    <xf numFmtId="0" fontId="28" fillId="9" borderId="18" xfId="0" applyFont="1" applyFill="1" applyBorder="1" applyAlignment="1" applyProtection="1">
      <alignment horizontal="left" shrinkToFit="1"/>
      <protection locked="0"/>
    </xf>
    <xf numFmtId="0" fontId="9" fillId="3" borderId="11" xfId="0" applyFont="1" applyFill="1" applyBorder="1" applyAlignment="1">
      <alignment horizontal="center" vertical="center" textRotation="255"/>
    </xf>
    <xf numFmtId="0" fontId="9" fillId="3" borderId="16" xfId="0" applyFont="1" applyFill="1" applyBorder="1" applyAlignment="1">
      <alignment horizontal="center" vertical="center" textRotation="255"/>
    </xf>
    <xf numFmtId="0" fontId="9" fillId="3" borderId="22" xfId="0" applyFont="1" applyFill="1" applyBorder="1" applyAlignment="1">
      <alignment horizontal="center" vertical="center" textRotation="255"/>
    </xf>
    <xf numFmtId="0" fontId="0" fillId="0" borderId="27" xfId="0" applyBorder="1" applyAlignment="1" applyProtection="1">
      <alignment horizontal="left" shrinkToFit="1"/>
      <protection locked="0"/>
    </xf>
    <xf numFmtId="0" fontId="0" fillId="0" borderId="13" xfId="0" applyBorder="1" applyAlignment="1" applyProtection="1">
      <alignment horizontal="left" shrinkToFit="1"/>
      <protection locked="0"/>
    </xf>
    <xf numFmtId="0" fontId="0" fillId="0" borderId="21" xfId="0" applyBorder="1" applyAlignment="1" applyProtection="1">
      <alignment horizontal="left" shrinkToFit="1"/>
      <protection locked="0"/>
    </xf>
    <xf numFmtId="0" fontId="0" fillId="0" borderId="18" xfId="0" applyBorder="1" applyAlignment="1" applyProtection="1">
      <alignment horizontal="left" shrinkToFit="1"/>
      <protection locked="0"/>
    </xf>
    <xf numFmtId="0" fontId="0" fillId="0" borderId="28" xfId="0" applyBorder="1" applyAlignment="1" applyProtection="1">
      <alignment horizontal="left" shrinkToFit="1"/>
      <protection locked="0"/>
    </xf>
    <xf numFmtId="0" fontId="0" fillId="0" borderId="20" xfId="0" applyBorder="1" applyAlignment="1" applyProtection="1">
      <alignment horizontal="left" shrinkToFit="1"/>
      <protection locked="0"/>
    </xf>
    <xf numFmtId="0" fontId="0" fillId="0" borderId="30" xfId="0" applyBorder="1" applyAlignment="1" applyProtection="1">
      <alignment shrinkToFit="1"/>
      <protection locked="0"/>
    </xf>
    <xf numFmtId="0" fontId="0" fillId="0" borderId="24" xfId="0" applyBorder="1" applyAlignment="1" applyProtection="1">
      <alignment shrinkToFit="1"/>
      <protection locked="0"/>
    </xf>
    <xf numFmtId="0" fontId="0" fillId="0" borderId="23" xfId="0" applyBorder="1" applyAlignment="1" applyProtection="1">
      <alignment shrinkToFit="1"/>
      <protection locked="0"/>
    </xf>
    <xf numFmtId="0" fontId="0" fillId="0" borderId="26" xfId="0" applyBorder="1" applyAlignment="1" applyProtection="1">
      <alignment shrinkToFit="1"/>
      <protection locked="0"/>
    </xf>
    <xf numFmtId="0" fontId="13" fillId="0" borderId="20" xfId="0" applyFont="1" applyBorder="1" applyAlignment="1" applyProtection="1">
      <alignment horizontal="left" shrinkToFit="1"/>
      <protection locked="0"/>
    </xf>
    <xf numFmtId="0" fontId="13" fillId="0" borderId="18" xfId="0" applyFont="1" applyBorder="1" applyAlignment="1" applyProtection="1">
      <alignment horizontal="left" shrinkToFit="1"/>
      <protection locked="0"/>
    </xf>
    <xf numFmtId="0" fontId="28" fillId="0" borderId="47" xfId="0" applyFont="1" applyBorder="1" applyAlignment="1" applyProtection="1">
      <alignment horizontal="left" shrinkToFit="1"/>
      <protection locked="0"/>
    </xf>
    <xf numFmtId="0" fontId="28" fillId="0" borderId="35" xfId="0" applyFont="1" applyBorder="1" applyAlignment="1" applyProtection="1">
      <alignment horizontal="left" shrinkToFit="1"/>
      <protection locked="0"/>
    </xf>
    <xf numFmtId="0" fontId="28" fillId="0" borderId="21" xfId="0" applyFont="1" applyBorder="1" applyAlignment="1" applyProtection="1">
      <alignment horizontal="left" shrinkToFit="1"/>
      <protection locked="0"/>
    </xf>
    <xf numFmtId="0" fontId="0" fillId="0" borderId="21" xfId="0" applyBorder="1" applyAlignment="1" applyProtection="1">
      <alignment shrinkToFit="1"/>
      <protection locked="0"/>
    </xf>
    <xf numFmtId="0" fontId="0" fillId="0" borderId="18" xfId="0" applyBorder="1" applyAlignment="1" applyProtection="1">
      <alignment shrinkToFit="1"/>
      <protection locked="0"/>
    </xf>
    <xf numFmtId="0" fontId="28" fillId="0" borderId="28" xfId="0" applyFont="1" applyBorder="1" applyAlignment="1" applyProtection="1">
      <alignment horizontal="left" shrinkToFit="1"/>
      <protection locked="0"/>
    </xf>
    <xf numFmtId="0" fontId="28" fillId="0" borderId="13" xfId="0" applyFont="1" applyBorder="1" applyAlignment="1" applyProtection="1">
      <alignment horizontal="left" shrinkToFit="1"/>
      <protection locked="0"/>
    </xf>
    <xf numFmtId="0" fontId="32" fillId="0" borderId="35" xfId="0" applyFont="1" applyBorder="1" applyAlignment="1" applyProtection="1">
      <alignment horizontal="left" shrinkToFit="1"/>
      <protection locked="0"/>
    </xf>
    <xf numFmtId="0" fontId="28" fillId="0" borderId="26" xfId="0" applyFont="1" applyBorder="1" applyAlignment="1" applyProtection="1">
      <alignment horizontal="left" shrinkToFit="1"/>
      <protection locked="0"/>
    </xf>
    <xf numFmtId="0" fontId="28" fillId="0" borderId="24" xfId="0" applyFont="1" applyBorder="1" applyAlignment="1" applyProtection="1">
      <alignment horizontal="left" shrinkToFit="1"/>
      <protection locked="0"/>
    </xf>
    <xf numFmtId="0" fontId="28" fillId="0" borderId="34" xfId="0" applyFont="1" applyBorder="1" applyAlignment="1" applyProtection="1">
      <alignment horizontal="left" shrinkToFit="1"/>
      <protection locked="0"/>
    </xf>
    <xf numFmtId="0" fontId="0" fillId="0" borderId="21" xfId="0" applyBorder="1" applyAlignment="1" applyProtection="1">
      <alignment wrapText="1" shrinkToFit="1"/>
      <protection locked="0"/>
    </xf>
    <xf numFmtId="0" fontId="11" fillId="0" borderId="26" xfId="0" applyFont="1" applyBorder="1" applyAlignment="1" applyProtection="1">
      <alignment shrinkToFit="1"/>
      <protection locked="0"/>
    </xf>
    <xf numFmtId="0" fontId="11" fillId="0" borderId="21" xfId="0" applyFont="1" applyBorder="1" applyAlignment="1" applyProtection="1">
      <alignment horizontal="left" shrinkToFit="1"/>
      <protection locked="0"/>
    </xf>
    <xf numFmtId="0" fontId="0" fillId="9" borderId="23" xfId="0" applyFill="1" applyBorder="1" applyAlignment="1" applyProtection="1">
      <alignment shrinkToFit="1"/>
      <protection locked="0"/>
    </xf>
    <xf numFmtId="0" fontId="0" fillId="9" borderId="24" xfId="0" applyFill="1" applyBorder="1" applyAlignment="1" applyProtection="1">
      <alignment shrinkToFit="1"/>
      <protection locked="0"/>
    </xf>
    <xf numFmtId="0" fontId="11" fillId="0" borderId="28" xfId="0" applyFont="1" applyBorder="1" applyAlignment="1" applyProtection="1">
      <alignment horizontal="left" shrinkToFit="1"/>
      <protection locked="0"/>
    </xf>
    <xf numFmtId="0" fontId="28" fillId="9" borderId="40" xfId="0" applyFont="1" applyFill="1" applyBorder="1" applyAlignment="1" applyProtection="1">
      <alignment horizontal="left" shrinkToFit="1"/>
      <protection locked="0"/>
    </xf>
    <xf numFmtId="0" fontId="28" fillId="9" borderId="35" xfId="0" applyFont="1" applyFill="1" applyBorder="1" applyAlignment="1" applyProtection="1">
      <alignment horizontal="left" shrinkToFit="1"/>
      <protection locked="0"/>
    </xf>
    <xf numFmtId="0" fontId="0" fillId="9" borderId="21" xfId="0" applyFill="1" applyBorder="1" applyAlignment="1" applyProtection="1">
      <alignment horizontal="left" shrinkToFit="1"/>
      <protection locked="0"/>
    </xf>
    <xf numFmtId="0" fontId="0" fillId="9" borderId="18" xfId="0" applyFill="1" applyBorder="1" applyAlignment="1" applyProtection="1">
      <alignment horizontal="left" shrinkToFit="1"/>
      <protection locked="0"/>
    </xf>
    <xf numFmtId="0" fontId="11" fillId="9" borderId="21" xfId="1" applyFont="1" applyFill="1" applyBorder="1" applyAlignment="1" applyProtection="1">
      <alignment horizontal="left" shrinkToFit="1"/>
      <protection locked="0"/>
    </xf>
    <xf numFmtId="0" fontId="11" fillId="9" borderId="18" xfId="1" applyFont="1" applyFill="1" applyBorder="1" applyAlignment="1" applyProtection="1">
      <alignment horizontal="left" shrinkToFit="1"/>
      <protection locked="0"/>
    </xf>
    <xf numFmtId="0" fontId="28" fillId="9" borderId="34" xfId="0" applyFont="1" applyFill="1" applyBorder="1" applyAlignment="1" applyProtection="1">
      <alignment horizontal="left" shrinkToFit="1"/>
      <protection locked="0"/>
    </xf>
    <xf numFmtId="0" fontId="28" fillId="9" borderId="21" xfId="0" applyFont="1" applyFill="1" applyBorder="1" applyAlignment="1" applyProtection="1">
      <alignment horizontal="left" shrinkToFit="1"/>
      <protection locked="0"/>
    </xf>
    <xf numFmtId="0" fontId="28" fillId="9" borderId="26" xfId="0" applyFont="1" applyFill="1" applyBorder="1" applyAlignment="1" applyProtection="1">
      <alignment horizontal="left" shrinkToFit="1"/>
      <protection locked="0"/>
    </xf>
    <xf numFmtId="0" fontId="28" fillId="9" borderId="24" xfId="0" applyFont="1" applyFill="1" applyBorder="1" applyAlignment="1" applyProtection="1">
      <alignment horizontal="left" shrinkToFit="1"/>
      <protection locked="0"/>
    </xf>
    <xf numFmtId="0" fontId="8" fillId="2" borderId="5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0" fillId="9" borderId="28" xfId="0" applyFill="1" applyBorder="1" applyAlignment="1" applyProtection="1">
      <alignment horizontal="left" shrinkToFit="1"/>
      <protection locked="0"/>
    </xf>
    <xf numFmtId="0" fontId="0" fillId="9" borderId="13" xfId="0" applyFill="1" applyBorder="1" applyAlignment="1" applyProtection="1">
      <alignment horizontal="left" shrinkToFit="1"/>
      <protection locked="0"/>
    </xf>
    <xf numFmtId="0" fontId="8" fillId="2" borderId="4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177" fontId="8" fillId="2" borderId="1" xfId="0" applyNumberFormat="1" applyFont="1" applyFill="1" applyBorder="1" applyAlignment="1">
      <alignment horizontal="right" vertical="center"/>
    </xf>
    <xf numFmtId="0" fontId="8" fillId="2" borderId="6" xfId="0" applyFont="1" applyFill="1" applyBorder="1" applyAlignment="1">
      <alignment horizontal="right" vertical="center"/>
    </xf>
    <xf numFmtId="0" fontId="2" fillId="0" borderId="0" xfId="0" applyFont="1" applyAlignment="1">
      <alignment horizontal="center"/>
    </xf>
    <xf numFmtId="55" fontId="9" fillId="0" borderId="8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77" fontId="8" fillId="2" borderId="3" xfId="0" applyNumberFormat="1" applyFont="1" applyFill="1" applyBorder="1" applyAlignment="1" applyProtection="1">
      <alignment horizontal="right" vertical="center"/>
      <protection locked="0"/>
    </xf>
    <xf numFmtId="177" fontId="8" fillId="2" borderId="8" xfId="0" applyNumberFormat="1" applyFont="1" applyFill="1" applyBorder="1" applyAlignment="1" applyProtection="1">
      <alignment horizontal="right" vertical="center"/>
      <protection locked="0"/>
    </xf>
    <xf numFmtId="0" fontId="33" fillId="0" borderId="21" xfId="0" applyFont="1" applyBorder="1" applyAlignment="1" applyProtection="1">
      <alignment horizontal="left" shrinkToFit="1"/>
      <protection locked="0"/>
    </xf>
    <xf numFmtId="0" fontId="33" fillId="0" borderId="18" xfId="0" applyFont="1" applyBorder="1" applyAlignment="1" applyProtection="1">
      <alignment horizontal="left" shrinkToFit="1"/>
      <protection locked="0"/>
    </xf>
    <xf numFmtId="0" fontId="33" fillId="0" borderId="26" xfId="0" applyFont="1" applyBorder="1" applyAlignment="1" applyProtection="1">
      <alignment shrinkToFit="1"/>
      <protection locked="0"/>
    </xf>
    <xf numFmtId="0" fontId="33" fillId="0" borderId="24" xfId="0" applyFont="1" applyBorder="1" applyAlignment="1" applyProtection="1">
      <alignment shrinkToFit="1"/>
      <protection locked="0"/>
    </xf>
    <xf numFmtId="0" fontId="10" fillId="0" borderId="0" xfId="0" applyFont="1" applyAlignment="1" applyProtection="1">
      <alignment shrinkToFit="1"/>
      <protection locked="0"/>
    </xf>
    <xf numFmtId="0" fontId="10" fillId="0" borderId="0" xfId="0" applyFont="1" applyAlignment="1" applyProtection="1">
      <alignment horizontal="left" shrinkToFit="1"/>
      <protection locked="0"/>
    </xf>
    <xf numFmtId="0" fontId="0" fillId="0" borderId="15" xfId="0" applyBorder="1" applyAlignment="1" applyProtection="1">
      <alignment horizontal="left" shrinkToFit="1"/>
      <protection locked="0"/>
    </xf>
    <xf numFmtId="0" fontId="0" fillId="0" borderId="0" xfId="0" applyAlignment="1" applyProtection="1">
      <alignment horizontal="left" shrinkToFit="1"/>
      <protection locked="0"/>
    </xf>
    <xf numFmtId="0" fontId="0" fillId="0" borderId="0" xfId="0" applyAlignment="1" applyProtection="1">
      <alignment shrinkToFit="1"/>
      <protection locked="0"/>
    </xf>
    <xf numFmtId="0" fontId="13" fillId="0" borderId="21" xfId="0" applyFont="1" applyBorder="1" applyAlignment="1" applyProtection="1">
      <alignment horizontal="left" shrinkToFit="1"/>
      <protection locked="0"/>
    </xf>
    <xf numFmtId="0" fontId="0" fillId="0" borderId="26" xfId="0" applyBorder="1" applyAlignment="1" applyProtection="1">
      <alignment horizontal="left" shrinkToFit="1"/>
      <protection locked="0"/>
    </xf>
    <xf numFmtId="0" fontId="0" fillId="0" borderId="24" xfId="0" applyBorder="1" applyAlignment="1" applyProtection="1">
      <alignment horizontal="left" shrinkToFit="1"/>
      <protection locked="0"/>
    </xf>
    <xf numFmtId="0" fontId="13" fillId="0" borderId="28" xfId="0" applyFont="1" applyBorder="1" applyAlignment="1" applyProtection="1">
      <alignment horizontal="left" shrinkToFit="1"/>
      <protection locked="0"/>
    </xf>
    <xf numFmtId="0" fontId="13" fillId="0" borderId="13" xfId="0" applyFont="1" applyBorder="1" applyAlignment="1" applyProtection="1">
      <alignment horizontal="left" shrinkToFit="1"/>
      <protection locked="0"/>
    </xf>
    <xf numFmtId="0" fontId="14" fillId="0" borderId="20" xfId="0" applyFont="1" applyBorder="1" applyAlignment="1" applyProtection="1">
      <alignment horizontal="left" shrinkToFit="1"/>
      <protection locked="0"/>
    </xf>
    <xf numFmtId="0" fontId="14" fillId="0" borderId="18" xfId="0" applyFont="1" applyBorder="1" applyAlignment="1" applyProtection="1">
      <alignment horizontal="left" shrinkToFit="1"/>
      <protection locked="0"/>
    </xf>
    <xf numFmtId="0" fontId="0" fillId="9" borderId="26" xfId="0" applyFill="1" applyBorder="1" applyAlignment="1" applyProtection="1">
      <alignment shrinkToFit="1"/>
      <protection locked="0"/>
    </xf>
    <xf numFmtId="0" fontId="0" fillId="9" borderId="21" xfId="0" applyFill="1" applyBorder="1" applyAlignment="1" applyProtection="1">
      <alignment shrinkToFit="1"/>
      <protection locked="0"/>
    </xf>
    <xf numFmtId="0" fontId="0" fillId="9" borderId="18" xfId="0" applyFill="1" applyBorder="1" applyAlignment="1" applyProtection="1">
      <alignment shrinkToFit="1"/>
      <protection locked="0"/>
    </xf>
    <xf numFmtId="0" fontId="17" fillId="9" borderId="20" xfId="0" applyFont="1" applyFill="1" applyBorder="1" applyAlignment="1" applyProtection="1">
      <alignment horizontal="left" shrinkToFit="1"/>
      <protection locked="0"/>
    </xf>
    <xf numFmtId="0" fontId="17" fillId="9" borderId="18" xfId="0" applyFont="1" applyFill="1" applyBorder="1" applyAlignment="1" applyProtection="1">
      <alignment horizontal="left" shrinkToFit="1"/>
      <protection locked="0"/>
    </xf>
    <xf numFmtId="0" fontId="13" fillId="9" borderId="24" xfId="0" applyFont="1" applyFill="1" applyBorder="1" applyAlignment="1" applyProtection="1">
      <alignment shrinkToFit="1"/>
      <protection locked="0"/>
    </xf>
    <xf numFmtId="0" fontId="17" fillId="9" borderId="26" xfId="0" applyFont="1" applyFill="1" applyBorder="1" applyAlignment="1" applyProtection="1">
      <alignment horizontal="left" shrinkToFit="1"/>
      <protection locked="0"/>
    </xf>
    <xf numFmtId="0" fontId="17" fillId="9" borderId="24" xfId="0" applyFont="1" applyFill="1" applyBorder="1" applyAlignment="1" applyProtection="1">
      <alignment horizontal="left" shrinkToFit="1"/>
      <protection locked="0"/>
    </xf>
    <xf numFmtId="0" fontId="13" fillId="9" borderId="12" xfId="0" applyFont="1" applyFill="1" applyBorder="1" applyAlignment="1" applyProtection="1">
      <alignment horizontal="left" shrinkToFit="1"/>
      <protection locked="0"/>
    </xf>
    <xf numFmtId="0" fontId="13" fillId="9" borderId="13" xfId="0" applyFont="1" applyFill="1" applyBorder="1" applyAlignment="1" applyProtection="1">
      <alignment horizontal="left" shrinkToFit="1"/>
      <protection locked="0"/>
    </xf>
    <xf numFmtId="0" fontId="0" fillId="9" borderId="20" xfId="0" applyFill="1" applyBorder="1" applyAlignment="1" applyProtection="1">
      <alignment horizontal="left" shrinkToFit="1"/>
      <protection locked="0"/>
    </xf>
    <xf numFmtId="0" fontId="13" fillId="9" borderId="18" xfId="0" applyFont="1" applyFill="1" applyBorder="1" applyAlignment="1" applyProtection="1">
      <alignment horizontal="left" shrinkToFit="1"/>
      <protection locked="0"/>
    </xf>
    <xf numFmtId="0" fontId="11" fillId="0" borderId="21" xfId="1" applyFont="1" applyFill="1" applyBorder="1" applyAlignment="1" applyProtection="1">
      <alignment horizontal="left" shrinkToFit="1"/>
      <protection locked="0"/>
    </xf>
    <xf numFmtId="0" fontId="11" fillId="0" borderId="18" xfId="1" applyFont="1" applyFill="1" applyBorder="1" applyAlignment="1" applyProtection="1">
      <alignment horizontal="left" shrinkToFit="1"/>
      <protection locked="0"/>
    </xf>
    <xf numFmtId="0" fontId="11" fillId="0" borderId="20" xfId="1" applyFont="1" applyFill="1" applyBorder="1" applyAlignment="1" applyProtection="1">
      <alignment horizontal="left" shrinkToFit="1"/>
      <protection locked="0"/>
    </xf>
    <xf numFmtId="0" fontId="28" fillId="0" borderId="40" xfId="0" applyFont="1" applyBorder="1" applyAlignment="1" applyProtection="1">
      <alignment horizontal="left" shrinkToFit="1"/>
      <protection locked="0"/>
    </xf>
    <xf numFmtId="0" fontId="0" fillId="9" borderId="26" xfId="0" applyFill="1" applyBorder="1" applyAlignment="1" applyProtection="1">
      <alignment horizontal="left" shrinkToFit="1"/>
      <protection locked="0"/>
    </xf>
    <xf numFmtId="0" fontId="13" fillId="9" borderId="24" xfId="0" applyFont="1" applyFill="1" applyBorder="1" applyAlignment="1" applyProtection="1">
      <alignment horizontal="left" shrinkToFit="1"/>
      <protection locked="0"/>
    </xf>
    <xf numFmtId="0" fontId="13" fillId="9" borderId="28" xfId="0" applyFont="1" applyFill="1" applyBorder="1" applyAlignment="1" applyProtection="1">
      <alignment horizontal="left" shrinkToFit="1"/>
      <protection locked="0"/>
    </xf>
    <xf numFmtId="0" fontId="17" fillId="0" borderId="28" xfId="0" applyFont="1" applyBorder="1" applyAlignment="1" applyProtection="1">
      <alignment horizontal="left" shrinkToFit="1"/>
      <protection locked="0"/>
    </xf>
    <xf numFmtId="0" fontId="17" fillId="0" borderId="13" xfId="0" applyFont="1" applyBorder="1" applyAlignment="1" applyProtection="1">
      <alignment horizontal="left" shrinkToFit="1"/>
      <protection locked="0"/>
    </xf>
    <xf numFmtId="0" fontId="17" fillId="0" borderId="21" xfId="0" applyFont="1" applyBorder="1" applyAlignment="1" applyProtection="1">
      <alignment horizontal="left" shrinkToFit="1"/>
      <protection locked="0"/>
    </xf>
    <xf numFmtId="0" fontId="17" fillId="0" borderId="18" xfId="0" applyFont="1" applyBorder="1" applyAlignment="1" applyProtection="1">
      <alignment horizontal="left" shrinkToFit="1"/>
      <protection locked="0"/>
    </xf>
    <xf numFmtId="0" fontId="23" fillId="0" borderId="21" xfId="0" applyFont="1" applyBorder="1" applyAlignment="1" applyProtection="1">
      <alignment horizontal="left" shrinkToFit="1"/>
      <protection locked="0"/>
    </xf>
    <xf numFmtId="0" fontId="23" fillId="0" borderId="18" xfId="0" applyFont="1" applyBorder="1" applyAlignment="1" applyProtection="1">
      <alignment horizontal="left" shrinkToFit="1"/>
      <protection locked="0"/>
    </xf>
    <xf numFmtId="0" fontId="11" fillId="0" borderId="34" xfId="1" applyFont="1" applyFill="1" applyBorder="1" applyAlignment="1" applyProtection="1">
      <alignment horizontal="left" shrinkToFit="1"/>
      <protection locked="0"/>
    </xf>
    <xf numFmtId="0" fontId="11" fillId="0" borderId="35" xfId="1" applyFont="1" applyFill="1" applyBorder="1" applyAlignment="1" applyProtection="1">
      <alignment horizontal="left" shrinkToFit="1"/>
      <protection locked="0"/>
    </xf>
    <xf numFmtId="0" fontId="17" fillId="9" borderId="23" xfId="0" applyFont="1" applyFill="1" applyBorder="1" applyAlignment="1" applyProtection="1">
      <alignment shrinkToFit="1"/>
      <protection locked="0"/>
    </xf>
    <xf numFmtId="0" fontId="17" fillId="9" borderId="24" xfId="0" applyFont="1" applyFill="1" applyBorder="1" applyAlignment="1" applyProtection="1">
      <alignment shrinkToFit="1"/>
      <protection locked="0"/>
    </xf>
    <xf numFmtId="0" fontId="17" fillId="9" borderId="26" xfId="0" applyFont="1" applyFill="1" applyBorder="1" applyAlignment="1" applyProtection="1">
      <alignment shrinkToFit="1"/>
      <protection locked="0"/>
    </xf>
    <xf numFmtId="0" fontId="17" fillId="9" borderId="21" xfId="0" applyFont="1" applyFill="1" applyBorder="1" applyAlignment="1" applyProtection="1">
      <alignment horizontal="left" shrinkToFit="1"/>
      <protection locked="0"/>
    </xf>
    <xf numFmtId="0" fontId="17" fillId="9" borderId="28" xfId="0" applyFont="1" applyFill="1" applyBorder="1" applyAlignment="1" applyProtection="1">
      <alignment horizontal="left" shrinkToFit="1"/>
      <protection locked="0"/>
    </xf>
    <xf numFmtId="0" fontId="17" fillId="9" borderId="13" xfId="0" applyFont="1" applyFill="1" applyBorder="1" applyAlignment="1" applyProtection="1">
      <alignment horizontal="left" shrinkToFit="1"/>
      <protection locked="0"/>
    </xf>
    <xf numFmtId="0" fontId="27" fillId="0" borderId="18" xfId="0" applyFont="1" applyBorder="1" applyAlignment="1" applyProtection="1">
      <alignment horizontal="left" shrinkToFit="1"/>
      <protection locked="0"/>
    </xf>
    <xf numFmtId="0" fontId="0" fillId="8" borderId="18" xfId="0" applyFill="1" applyBorder="1" applyAlignment="1" applyProtection="1">
      <alignment horizontal="left" shrinkToFit="1"/>
      <protection locked="0"/>
    </xf>
    <xf numFmtId="0" fontId="0" fillId="9" borderId="12" xfId="0" applyFill="1" applyBorder="1" applyAlignment="1" applyProtection="1">
      <alignment horizontal="left" shrinkToFit="1"/>
      <protection locked="0"/>
    </xf>
    <xf numFmtId="0" fontId="28" fillId="9" borderId="30" xfId="0" applyFont="1" applyFill="1" applyBorder="1" applyAlignment="1" applyProtection="1">
      <alignment horizontal="left" shrinkToFit="1"/>
      <protection locked="0"/>
    </xf>
    <xf numFmtId="0" fontId="11" fillId="0" borderId="23" xfId="1" applyFont="1" applyFill="1" applyBorder="1" applyAlignment="1" applyProtection="1">
      <alignment shrinkToFit="1"/>
      <protection locked="0"/>
    </xf>
    <xf numFmtId="0" fontId="11" fillId="0" borderId="24" xfId="1" applyFont="1" applyFill="1" applyBorder="1" applyAlignment="1" applyProtection="1">
      <alignment shrinkToFit="1"/>
      <protection locked="0"/>
    </xf>
    <xf numFmtId="0" fontId="11" fillId="0" borderId="40" xfId="1" applyFont="1" applyFill="1" applyBorder="1" applyAlignment="1" applyProtection="1">
      <alignment horizontal="left" shrinkToFit="1"/>
      <protection locked="0"/>
    </xf>
    <xf numFmtId="0" fontId="28" fillId="0" borderId="30" xfId="0" applyFont="1" applyBorder="1" applyAlignment="1" applyProtection="1">
      <alignment horizontal="left" shrinkToFit="1"/>
      <protection locked="0"/>
    </xf>
    <xf numFmtId="0" fontId="0" fillId="0" borderId="12" xfId="0" applyBorder="1" applyAlignment="1" applyProtection="1">
      <alignment horizontal="left" shrinkToFit="1"/>
      <protection locked="0"/>
    </xf>
    <xf numFmtId="0" fontId="27" fillId="0" borderId="30" xfId="0" applyFont="1" applyBorder="1" applyAlignment="1" applyProtection="1">
      <alignment horizontal="left" shrinkToFit="1"/>
      <protection locked="0"/>
    </xf>
    <xf numFmtId="0" fontId="27" fillId="0" borderId="24" xfId="0" applyFont="1" applyBorder="1" applyAlignment="1" applyProtection="1">
      <alignment horizontal="left" shrinkToFit="1"/>
      <protection locked="0"/>
    </xf>
    <xf numFmtId="0" fontId="0" fillId="0" borderId="34" xfId="0" applyBorder="1" applyAlignment="1" applyProtection="1">
      <alignment horizontal="left" shrinkToFit="1"/>
      <protection locked="0"/>
    </xf>
    <xf numFmtId="0" fontId="0" fillId="0" borderId="35" xfId="0" applyBorder="1" applyAlignment="1" applyProtection="1">
      <alignment horizontal="left" shrinkToFit="1"/>
      <protection locked="0"/>
    </xf>
    <xf numFmtId="0" fontId="0" fillId="12" borderId="20" xfId="0" applyFill="1" applyBorder="1" applyAlignment="1" applyProtection="1">
      <alignment horizontal="left" shrinkToFit="1"/>
      <protection locked="0"/>
    </xf>
    <xf numFmtId="0" fontId="0" fillId="12" borderId="18" xfId="0" applyFill="1" applyBorder="1" applyAlignment="1" applyProtection="1">
      <alignment horizontal="left" shrinkToFit="1"/>
      <protection locked="0"/>
    </xf>
    <xf numFmtId="0" fontId="14" fillId="12" borderId="20" xfId="0" applyFont="1" applyFill="1" applyBorder="1" applyAlignment="1" applyProtection="1">
      <alignment horizontal="left" shrinkToFit="1"/>
      <protection locked="0"/>
    </xf>
    <xf numFmtId="0" fontId="14" fillId="12" borderId="18" xfId="0" applyFont="1" applyFill="1" applyBorder="1" applyAlignment="1" applyProtection="1">
      <alignment horizontal="left" shrinkToFit="1"/>
      <protection locked="0"/>
    </xf>
    <xf numFmtId="0" fontId="29" fillId="12" borderId="30" xfId="0" applyFont="1" applyFill="1" applyBorder="1" applyAlignment="1" applyProtection="1">
      <alignment horizontal="center" shrinkToFit="1"/>
      <protection locked="0"/>
    </xf>
    <xf numFmtId="0" fontId="29" fillId="12" borderId="24" xfId="0" applyFont="1" applyFill="1" applyBorder="1" applyAlignment="1" applyProtection="1">
      <alignment horizontal="center" shrinkToFit="1"/>
      <protection locked="0"/>
    </xf>
    <xf numFmtId="0" fontId="0" fillId="12" borderId="27" xfId="0" applyFill="1" applyBorder="1" applyAlignment="1" applyProtection="1">
      <alignment horizontal="left" shrinkToFit="1"/>
      <protection locked="0"/>
    </xf>
    <xf numFmtId="0" fontId="0" fillId="12" borderId="13" xfId="0" applyFill="1" applyBorder="1" applyAlignment="1" applyProtection="1">
      <alignment horizontal="left" shrinkToFit="1"/>
      <protection locked="0"/>
    </xf>
    <xf numFmtId="0" fontId="0" fillId="9" borderId="34" xfId="0" applyFill="1" applyBorder="1" applyAlignment="1" applyProtection="1">
      <alignment horizontal="left" shrinkToFit="1"/>
      <protection locked="0"/>
    </xf>
    <xf numFmtId="0" fontId="0" fillId="9" borderId="35" xfId="0" applyFill="1" applyBorder="1" applyAlignment="1" applyProtection="1">
      <alignment horizontal="left" shrinkToFit="1"/>
      <protection locked="0"/>
    </xf>
    <xf numFmtId="0" fontId="0" fillId="9" borderId="24" xfId="0" applyFill="1" applyBorder="1" applyAlignment="1" applyProtection="1">
      <alignment horizontal="left" shrinkToFit="1"/>
      <protection locked="0"/>
    </xf>
    <xf numFmtId="0" fontId="27" fillId="9" borderId="30" xfId="0" applyFont="1" applyFill="1" applyBorder="1" applyAlignment="1" applyProtection="1">
      <alignment horizontal="left" shrinkToFit="1"/>
      <protection locked="0"/>
    </xf>
    <xf numFmtId="0" fontId="27" fillId="9" borderId="24" xfId="0" applyFont="1" applyFill="1" applyBorder="1" applyAlignment="1" applyProtection="1">
      <alignment horizontal="left" shrinkToFit="1"/>
      <protection locked="0"/>
    </xf>
    <xf numFmtId="0" fontId="27" fillId="0" borderId="20" xfId="0" applyFont="1" applyBorder="1" applyAlignment="1" applyProtection="1">
      <alignment horizontal="left" shrinkToFit="1"/>
      <protection locked="0"/>
    </xf>
    <xf numFmtId="0" fontId="17" fillId="0" borderId="20" xfId="0" applyFont="1" applyBorder="1" applyAlignment="1" applyProtection="1">
      <alignment horizontal="left" shrinkToFit="1"/>
      <protection locked="0"/>
    </xf>
    <xf numFmtId="0" fontId="0" fillId="11" borderId="26" xfId="0" applyFill="1" applyBorder="1" applyAlignment="1" applyProtection="1">
      <alignment horizontal="left" shrinkToFit="1"/>
      <protection locked="0"/>
    </xf>
    <xf numFmtId="0" fontId="0" fillId="11" borderId="24" xfId="0" applyFill="1" applyBorder="1" applyAlignment="1" applyProtection="1">
      <alignment horizontal="left" shrinkToFit="1"/>
      <protection locked="0"/>
    </xf>
    <xf numFmtId="0" fontId="13" fillId="9" borderId="21" xfId="0" applyFont="1" applyFill="1" applyBorder="1" applyAlignment="1" applyProtection="1">
      <alignment horizontal="left" shrinkToFit="1"/>
      <protection locked="0"/>
    </xf>
    <xf numFmtId="0" fontId="13" fillId="0" borderId="24" xfId="0" applyFont="1" applyBorder="1" applyAlignment="1" applyProtection="1">
      <alignment shrinkToFit="1"/>
      <protection locked="0"/>
    </xf>
    <xf numFmtId="0" fontId="4" fillId="0" borderId="21" xfId="0" applyFont="1" applyBorder="1" applyAlignment="1" applyProtection="1">
      <alignment horizontal="left" shrinkToFit="1"/>
      <protection locked="0"/>
    </xf>
    <xf numFmtId="0" fontId="4" fillId="0" borderId="18" xfId="0" applyFont="1" applyBorder="1" applyAlignment="1" applyProtection="1">
      <alignment horizontal="left" shrinkToFit="1"/>
      <protection locked="0"/>
    </xf>
    <xf numFmtId="0" fontId="17" fillId="0" borderId="26" xfId="0" applyFont="1" applyBorder="1" applyAlignment="1" applyProtection="1">
      <alignment horizontal="left" shrinkToFit="1"/>
      <protection locked="0"/>
    </xf>
    <xf numFmtId="0" fontId="17" fillId="0" borderId="24" xfId="0" applyFont="1" applyBorder="1" applyAlignment="1" applyProtection="1">
      <alignment horizontal="left" shrinkToFit="1"/>
      <protection locked="0"/>
    </xf>
    <xf numFmtId="0" fontId="13" fillId="0" borderId="24" xfId="0" applyFont="1" applyBorder="1" applyAlignment="1" applyProtection="1">
      <alignment horizontal="left" shrinkToFit="1"/>
      <protection locked="0"/>
    </xf>
    <xf numFmtId="0" fontId="13" fillId="0" borderId="12" xfId="0" applyFont="1" applyBorder="1" applyAlignment="1" applyProtection="1">
      <alignment horizontal="left" shrinkToFit="1"/>
      <protection locked="0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3" fillId="9" borderId="23" xfId="0" applyFont="1" applyFill="1" applyBorder="1" applyAlignment="1" applyProtection="1">
      <alignment shrinkToFit="1"/>
      <protection locked="0"/>
    </xf>
    <xf numFmtId="0" fontId="13" fillId="9" borderId="8" xfId="0" applyFont="1" applyFill="1" applyBorder="1" applyAlignment="1" applyProtection="1">
      <alignment shrinkToFit="1"/>
      <protection locked="0"/>
    </xf>
    <xf numFmtId="0" fontId="13" fillId="9" borderId="9" xfId="0" applyFont="1" applyFill="1" applyBorder="1" applyAlignment="1" applyProtection="1">
      <alignment shrinkToFit="1"/>
      <protection locked="0"/>
    </xf>
    <xf numFmtId="0" fontId="0" fillId="0" borderId="17" xfId="0" applyBorder="1" applyAlignment="1" applyProtection="1">
      <alignment horizontal="left" shrinkToFit="1"/>
      <protection locked="0"/>
    </xf>
    <xf numFmtId="0" fontId="17" fillId="0" borderId="42" xfId="0" applyFont="1" applyBorder="1" applyAlignment="1" applyProtection="1">
      <alignment horizontal="left" shrinkToFit="1"/>
      <protection locked="0"/>
    </xf>
    <xf numFmtId="0" fontId="17" fillId="0" borderId="43" xfId="0" applyFont="1" applyBorder="1" applyAlignment="1" applyProtection="1">
      <alignment horizontal="left" shrinkToFit="1"/>
      <protection locked="0"/>
    </xf>
    <xf numFmtId="0" fontId="9" fillId="3" borderId="1" xfId="0" applyFont="1" applyFill="1" applyBorder="1" applyAlignment="1">
      <alignment horizontal="center" vertical="center" textRotation="255"/>
    </xf>
    <xf numFmtId="0" fontId="9" fillId="3" borderId="15" xfId="0" applyFont="1" applyFill="1" applyBorder="1" applyAlignment="1">
      <alignment horizontal="center" vertical="center" textRotation="255"/>
    </xf>
    <xf numFmtId="0" fontId="9" fillId="3" borderId="6" xfId="0" applyFont="1" applyFill="1" applyBorder="1" applyAlignment="1">
      <alignment horizontal="center" vertical="center" textRotation="255"/>
    </xf>
    <xf numFmtId="0" fontId="0" fillId="0" borderId="38" xfId="0" applyBorder="1" applyAlignment="1" applyProtection="1">
      <alignment horizontal="left" shrinkToFit="1"/>
      <protection locked="0"/>
    </xf>
    <xf numFmtId="0" fontId="17" fillId="0" borderId="45" xfId="0" applyFont="1" applyBorder="1" applyAlignment="1" applyProtection="1">
      <alignment horizontal="left" shrinkToFit="1"/>
      <protection locked="0"/>
    </xf>
    <xf numFmtId="0" fontId="13" fillId="9" borderId="27" xfId="0" applyFont="1" applyFill="1" applyBorder="1" applyAlignment="1" applyProtection="1">
      <alignment horizontal="left" shrinkToFit="1"/>
      <protection locked="0"/>
    </xf>
    <xf numFmtId="0" fontId="0" fillId="9" borderId="30" xfId="0" applyFill="1" applyBorder="1" applyAlignment="1" applyProtection="1">
      <alignment shrinkToFit="1"/>
      <protection locked="0"/>
    </xf>
    <xf numFmtId="0" fontId="13" fillId="0" borderId="27" xfId="0" applyFont="1" applyBorder="1" applyAlignment="1" applyProtection="1">
      <alignment horizontal="left" shrinkToFit="1"/>
      <protection locked="0"/>
    </xf>
    <xf numFmtId="0" fontId="14" fillId="0" borderId="21" xfId="0" applyFont="1" applyBorder="1" applyAlignment="1" applyProtection="1">
      <alignment horizontal="left" shrinkToFit="1"/>
      <protection locked="0"/>
    </xf>
    <xf numFmtId="0" fontId="26" fillId="9" borderId="30" xfId="0" applyFont="1" applyFill="1" applyBorder="1" applyAlignment="1" applyProtection="1">
      <alignment horizontal="left" shrinkToFit="1"/>
      <protection locked="0"/>
    </xf>
    <xf numFmtId="0" fontId="17" fillId="9" borderId="30" xfId="0" applyFont="1" applyFill="1" applyBorder="1" applyAlignment="1" applyProtection="1">
      <alignment horizontal="left" shrinkToFit="1"/>
      <protection locked="0"/>
    </xf>
    <xf numFmtId="178" fontId="13" fillId="0" borderId="23" xfId="0" applyNumberFormat="1" applyFont="1" applyBorder="1" applyAlignment="1" applyProtection="1">
      <alignment shrinkToFit="1"/>
      <protection locked="0"/>
    </xf>
    <xf numFmtId="178" fontId="13" fillId="0" borderId="24" xfId="0" applyNumberFormat="1" applyFont="1" applyBorder="1" applyAlignment="1" applyProtection="1">
      <alignment shrinkToFit="1"/>
      <protection locked="0"/>
    </xf>
    <xf numFmtId="178" fontId="0" fillId="0" borderId="20" xfId="0" applyNumberFormat="1" applyBorder="1" applyAlignment="1" applyProtection="1">
      <alignment horizontal="left" shrinkToFit="1"/>
      <protection locked="0"/>
    </xf>
    <xf numFmtId="178" fontId="0" fillId="0" borderId="18" xfId="0" applyNumberFormat="1" applyBorder="1" applyAlignment="1" applyProtection="1">
      <alignment horizontal="left" shrinkToFit="1"/>
      <protection locked="0"/>
    </xf>
    <xf numFmtId="178" fontId="0" fillId="0" borderId="21" xfId="0" applyNumberFormat="1" applyBorder="1" applyAlignment="1" applyProtection="1">
      <alignment horizontal="left" shrinkToFit="1"/>
      <protection locked="0"/>
    </xf>
    <xf numFmtId="178" fontId="0" fillId="0" borderId="26" xfId="0" applyNumberFormat="1" applyBorder="1" applyAlignment="1" applyProtection="1">
      <alignment shrinkToFit="1"/>
      <protection locked="0"/>
    </xf>
    <xf numFmtId="178" fontId="0" fillId="0" borderId="24" xfId="0" applyNumberFormat="1" applyBorder="1" applyAlignment="1" applyProtection="1">
      <alignment shrinkToFit="1"/>
      <protection locked="0"/>
    </xf>
    <xf numFmtId="178" fontId="0" fillId="0" borderId="26" xfId="0" applyNumberFormat="1" applyBorder="1" applyAlignment="1" applyProtection="1">
      <alignment horizontal="left" shrinkToFit="1"/>
      <protection locked="0"/>
    </xf>
    <xf numFmtId="178" fontId="0" fillId="0" borderId="24" xfId="0" applyNumberFormat="1" applyBorder="1" applyAlignment="1" applyProtection="1">
      <alignment horizontal="left" shrinkToFit="1"/>
      <protection locked="0"/>
    </xf>
    <xf numFmtId="178" fontId="0" fillId="0" borderId="28" xfId="0" applyNumberFormat="1" applyBorder="1" applyAlignment="1" applyProtection="1">
      <alignment horizontal="left" shrinkToFit="1"/>
      <protection locked="0"/>
    </xf>
    <xf numFmtId="178" fontId="0" fillId="0" borderId="13" xfId="0" applyNumberFormat="1" applyBorder="1" applyAlignment="1" applyProtection="1">
      <alignment horizontal="left" shrinkToFit="1"/>
      <protection locked="0"/>
    </xf>
    <xf numFmtId="0" fontId="0" fillId="0" borderId="21" xfId="0" applyBorder="1" applyAlignment="1" applyProtection="1">
      <alignment horizontal="center" shrinkToFit="1"/>
      <protection locked="0"/>
    </xf>
    <xf numFmtId="0" fontId="0" fillId="0" borderId="18" xfId="0" applyBorder="1" applyAlignment="1" applyProtection="1">
      <alignment horizontal="center" shrinkToFit="1"/>
      <protection locked="0"/>
    </xf>
    <xf numFmtId="0" fontId="14" fillId="0" borderId="27" xfId="0" applyFont="1" applyBorder="1" applyAlignment="1" applyProtection="1">
      <alignment horizontal="left" shrinkToFit="1"/>
      <protection locked="0"/>
    </xf>
    <xf numFmtId="0" fontId="14" fillId="0" borderId="13" xfId="0" applyFont="1" applyBorder="1" applyAlignment="1" applyProtection="1">
      <alignment horizontal="left" shrinkToFit="1"/>
      <protection locked="0"/>
    </xf>
    <xf numFmtId="0" fontId="13" fillId="0" borderId="23" xfId="0" applyFont="1" applyBorder="1" applyAlignment="1" applyProtection="1">
      <alignment shrinkToFit="1"/>
      <protection locked="0"/>
    </xf>
    <xf numFmtId="0" fontId="0" fillId="0" borderId="28" xfId="0" applyBorder="1" applyAlignment="1" applyProtection="1">
      <alignment horizontal="center" shrinkToFit="1"/>
      <protection locked="0"/>
    </xf>
    <xf numFmtId="0" fontId="0" fillId="0" borderId="13" xfId="0" applyBorder="1" applyAlignment="1" applyProtection="1">
      <alignment horizontal="center" shrinkToFit="1"/>
      <protection locked="0"/>
    </xf>
    <xf numFmtId="0" fontId="13" fillId="0" borderId="21" xfId="0" applyFont="1" applyBorder="1" applyAlignment="1" applyProtection="1">
      <alignment shrinkToFit="1"/>
      <protection locked="0"/>
    </xf>
    <xf numFmtId="0" fontId="13" fillId="0" borderId="18" xfId="0" applyFont="1" applyBorder="1" applyAlignment="1" applyProtection="1">
      <alignment shrinkToFit="1"/>
      <protection locked="0"/>
    </xf>
    <xf numFmtId="0" fontId="13" fillId="0" borderId="26" xfId="0" applyFont="1" applyBorder="1" applyAlignment="1" applyProtection="1">
      <alignment horizontal="left" shrinkToFit="1"/>
      <protection locked="0"/>
    </xf>
    <xf numFmtId="0" fontId="13" fillId="0" borderId="23" xfId="0" applyFont="1" applyBorder="1" applyAlignment="1" applyProtection="1">
      <alignment horizontal="left" shrinkToFit="1"/>
      <protection locked="0"/>
    </xf>
    <xf numFmtId="0" fontId="17" fillId="9" borderId="45" xfId="0" applyFont="1" applyFill="1" applyBorder="1" applyAlignment="1" applyProtection="1">
      <alignment horizontal="left" shrinkToFit="1"/>
      <protection locked="0"/>
    </xf>
    <xf numFmtId="0" fontId="17" fillId="9" borderId="43" xfId="0" applyFont="1" applyFill="1" applyBorder="1" applyAlignment="1" applyProtection="1">
      <alignment horizontal="left" shrinkToFit="1"/>
      <protection locked="0"/>
    </xf>
    <xf numFmtId="0" fontId="4" fillId="9" borderId="28" xfId="0" applyFont="1" applyFill="1" applyBorder="1" applyAlignment="1" applyProtection="1">
      <alignment horizontal="left" shrinkToFit="1"/>
      <protection locked="0"/>
    </xf>
    <xf numFmtId="0" fontId="4" fillId="9" borderId="13" xfId="0" applyFont="1" applyFill="1" applyBorder="1" applyAlignment="1" applyProtection="1">
      <alignment horizontal="left" shrinkToFit="1"/>
      <protection locked="0"/>
    </xf>
    <xf numFmtId="0" fontId="0" fillId="0" borderId="23" xfId="0" applyBorder="1" applyAlignment="1" applyProtection="1">
      <alignment horizontal="left" shrinkToFit="1"/>
      <protection locked="0"/>
    </xf>
    <xf numFmtId="0" fontId="14" fillId="9" borderId="21" xfId="0" applyFont="1" applyFill="1" applyBorder="1" applyAlignment="1" applyProtection="1">
      <alignment horizontal="left" shrinkToFit="1"/>
      <protection locked="0"/>
    </xf>
    <xf numFmtId="0" fontId="14" fillId="9" borderId="18" xfId="0" applyFont="1" applyFill="1" applyBorder="1" applyAlignment="1" applyProtection="1">
      <alignment horizontal="left" shrinkToFit="1"/>
      <protection locked="0"/>
    </xf>
    <xf numFmtId="0" fontId="13" fillId="9" borderId="20" xfId="0" applyFont="1" applyFill="1" applyBorder="1" applyAlignment="1" applyProtection="1">
      <alignment horizontal="left" shrinkToFit="1"/>
      <protection locked="0"/>
    </xf>
    <xf numFmtId="0" fontId="0" fillId="9" borderId="23" xfId="0" applyFill="1" applyBorder="1" applyAlignment="1" applyProtection="1">
      <alignment horizontal="left" shrinkToFit="1"/>
      <protection locked="0"/>
    </xf>
    <xf numFmtId="0" fontId="13" fillId="9" borderId="23" xfId="0" applyFont="1" applyFill="1" applyBorder="1" applyAlignment="1" applyProtection="1">
      <alignment horizontal="left" shrinkToFit="1"/>
      <protection locked="0"/>
    </xf>
    <xf numFmtId="0" fontId="14" fillId="9" borderId="23" xfId="0" applyFont="1" applyFill="1" applyBorder="1" applyAlignment="1" applyProtection="1">
      <alignment shrinkToFit="1"/>
      <protection locked="0"/>
    </xf>
    <xf numFmtId="0" fontId="14" fillId="9" borderId="24" xfId="0" applyFont="1" applyFill="1" applyBorder="1" applyAlignment="1" applyProtection="1">
      <alignment shrinkToFit="1"/>
      <protection locked="0"/>
    </xf>
    <xf numFmtId="0" fontId="13" fillId="0" borderId="26" xfId="0" applyFont="1" applyBorder="1" applyAlignment="1" applyProtection="1">
      <alignment shrinkToFit="1"/>
      <protection locked="0"/>
    </xf>
    <xf numFmtId="0" fontId="24" fillId="9" borderId="1" xfId="0" applyFont="1" applyFill="1" applyBorder="1" applyAlignment="1" applyProtection="1">
      <alignment horizontal="center" vertical="center" shrinkToFit="1"/>
      <protection locked="0"/>
    </xf>
    <xf numFmtId="0" fontId="25" fillId="9" borderId="4" xfId="0" applyFont="1" applyFill="1" applyBorder="1" applyAlignment="1" applyProtection="1">
      <alignment horizontal="center" vertical="center" shrinkToFit="1"/>
      <protection locked="0"/>
    </xf>
    <xf numFmtId="0" fontId="25" fillId="9" borderId="15" xfId="0" applyFont="1" applyFill="1" applyBorder="1" applyAlignment="1" applyProtection="1">
      <alignment horizontal="center" vertical="center" shrinkToFit="1"/>
      <protection locked="0"/>
    </xf>
    <xf numFmtId="0" fontId="25" fillId="9" borderId="38" xfId="0" applyFont="1" applyFill="1" applyBorder="1" applyAlignment="1" applyProtection="1">
      <alignment horizontal="center" vertical="center" shrinkToFit="1"/>
      <protection locked="0"/>
    </xf>
    <xf numFmtId="0" fontId="25" fillId="9" borderId="6" xfId="0" applyFont="1" applyFill="1" applyBorder="1" applyAlignment="1" applyProtection="1">
      <alignment horizontal="center" vertical="center" shrinkToFit="1"/>
      <protection locked="0"/>
    </xf>
    <xf numFmtId="0" fontId="25" fillId="9" borderId="9" xfId="0" applyFont="1" applyFill="1" applyBorder="1" applyAlignment="1" applyProtection="1">
      <alignment horizontal="center" vertical="center" shrinkToFit="1"/>
      <protection locked="0"/>
    </xf>
    <xf numFmtId="0" fontId="13" fillId="9" borderId="21" xfId="0" applyFont="1" applyFill="1" applyBorder="1" applyAlignment="1" applyProtection="1">
      <alignment shrinkToFit="1"/>
      <protection locked="0"/>
    </xf>
    <xf numFmtId="0" fontId="13" fillId="9" borderId="18" xfId="0" applyFont="1" applyFill="1" applyBorder="1" applyAlignment="1" applyProtection="1">
      <alignment shrinkToFit="1"/>
      <protection locked="0"/>
    </xf>
    <xf numFmtId="0" fontId="17" fillId="9" borderId="27" xfId="0" applyFont="1" applyFill="1" applyBorder="1" applyAlignment="1" applyProtection="1">
      <alignment horizontal="left" shrinkToFit="1"/>
      <protection locked="0"/>
    </xf>
    <xf numFmtId="0" fontId="17" fillId="9" borderId="30" xfId="0" applyFont="1" applyFill="1" applyBorder="1" applyAlignment="1" applyProtection="1">
      <alignment shrinkToFit="1"/>
      <protection locked="0"/>
    </xf>
    <xf numFmtId="0" fontId="0" fillId="0" borderId="40" xfId="0" applyBorder="1" applyAlignment="1" applyProtection="1">
      <alignment horizontal="left" shrinkToFit="1"/>
      <protection locked="0"/>
    </xf>
    <xf numFmtId="0" fontId="0" fillId="0" borderId="30" xfId="0" applyBorder="1" applyAlignment="1" applyProtection="1">
      <alignment horizontal="left" shrinkToFit="1"/>
      <protection locked="0"/>
    </xf>
    <xf numFmtId="0" fontId="17" fillId="0" borderId="30" xfId="0" applyFont="1" applyBorder="1" applyAlignment="1" applyProtection="1">
      <alignment horizontal="left" shrinkToFit="1"/>
      <protection locked="0"/>
    </xf>
    <xf numFmtId="0" fontId="17" fillId="0" borderId="40" xfId="0" applyFont="1" applyBorder="1" applyAlignment="1" applyProtection="1">
      <alignment horizontal="left" shrinkToFit="1"/>
      <protection locked="0"/>
    </xf>
    <xf numFmtId="0" fontId="17" fillId="0" borderId="35" xfId="0" applyFont="1" applyBorder="1" applyAlignment="1" applyProtection="1">
      <alignment horizontal="left" shrinkToFit="1"/>
      <protection locked="0"/>
    </xf>
    <xf numFmtId="0" fontId="0" fillId="0" borderId="1" xfId="0" applyBorder="1" applyAlignment="1" applyProtection="1">
      <alignment horizontal="left" shrinkToFit="1"/>
      <protection locked="0"/>
    </xf>
    <xf numFmtId="0" fontId="0" fillId="0" borderId="4" xfId="0" applyBorder="1" applyAlignment="1" applyProtection="1">
      <alignment horizontal="left" shrinkToFit="1"/>
      <protection locked="0"/>
    </xf>
    <xf numFmtId="176" fontId="0" fillId="0" borderId="44" xfId="0" applyNumberFormat="1" applyBorder="1" applyAlignment="1" applyProtection="1">
      <alignment horizontal="center" vertical="center" shrinkToFit="1"/>
      <protection locked="0"/>
    </xf>
    <xf numFmtId="176" fontId="0" fillId="0" borderId="39" xfId="0" applyNumberFormat="1" applyBorder="1" applyAlignment="1" applyProtection="1">
      <alignment horizontal="center" vertical="center" shrinkToFit="1"/>
      <protection locked="0"/>
    </xf>
    <xf numFmtId="176" fontId="0" fillId="0" borderId="36" xfId="0" applyNumberFormat="1" applyBorder="1" applyAlignment="1" applyProtection="1">
      <alignment horizontal="center" vertical="center" shrinkToFit="1"/>
      <protection locked="0"/>
    </xf>
    <xf numFmtId="0" fontId="14" fillId="0" borderId="23" xfId="0" applyFont="1" applyBorder="1" applyAlignment="1" applyProtection="1">
      <alignment shrinkToFit="1"/>
      <protection locked="0"/>
    </xf>
    <xf numFmtId="0" fontId="14" fillId="0" borderId="24" xfId="0" applyFont="1" applyBorder="1" applyAlignment="1" applyProtection="1">
      <alignment shrinkToFit="1"/>
      <protection locked="0"/>
    </xf>
    <xf numFmtId="0" fontId="14" fillId="0" borderId="12" xfId="0" applyFont="1" applyBorder="1" applyAlignment="1" applyProtection="1">
      <alignment horizontal="left" shrinkToFit="1"/>
      <protection locked="0"/>
    </xf>
    <xf numFmtId="0" fontId="0" fillId="0" borderId="42" xfId="0" applyBorder="1" applyAlignment="1" applyProtection="1">
      <alignment horizontal="center" vertical="center" shrinkToFit="1"/>
      <protection locked="0"/>
    </xf>
    <xf numFmtId="0" fontId="0" fillId="0" borderId="43" xfId="0" applyBorder="1" applyAlignment="1" applyProtection="1">
      <alignment horizontal="center" vertical="center" shrinkToFit="1"/>
      <protection locked="0"/>
    </xf>
    <xf numFmtId="0" fontId="0" fillId="0" borderId="15" xfId="0" applyBorder="1" applyAlignment="1" applyProtection="1">
      <alignment horizontal="center" vertical="center" shrinkToFit="1"/>
      <protection locked="0"/>
    </xf>
    <xf numFmtId="0" fontId="0" fillId="0" borderId="38" xfId="0" applyBorder="1" applyAlignment="1" applyProtection="1">
      <alignment horizontal="center" vertical="center" shrinkToFit="1"/>
      <protection locked="0"/>
    </xf>
    <xf numFmtId="0" fontId="0" fillId="0" borderId="34" xfId="0" applyBorder="1" applyAlignment="1" applyProtection="1">
      <alignment horizontal="center" vertical="center" shrinkToFit="1"/>
      <protection locked="0"/>
    </xf>
    <xf numFmtId="0" fontId="0" fillId="0" borderId="35" xfId="0" applyBorder="1" applyAlignment="1" applyProtection="1">
      <alignment horizontal="center" vertical="center" shrinkToFit="1"/>
      <protection locked="0"/>
    </xf>
    <xf numFmtId="0" fontId="14" fillId="0" borderId="23" xfId="0" applyFont="1" applyBorder="1" applyAlignment="1" applyProtection="1">
      <alignment horizontal="left" shrinkToFit="1"/>
      <protection locked="0"/>
    </xf>
    <xf numFmtId="0" fontId="14" fillId="0" borderId="24" xfId="0" applyFont="1" applyBorder="1" applyAlignment="1" applyProtection="1">
      <alignment horizontal="left" shrinkToFit="1"/>
      <protection locked="0"/>
    </xf>
    <xf numFmtId="0" fontId="14" fillId="0" borderId="28" xfId="0" applyFont="1" applyBorder="1" applyAlignment="1" applyProtection="1">
      <alignment horizontal="left" shrinkToFit="1"/>
      <protection locked="0"/>
    </xf>
    <xf numFmtId="0" fontId="21" fillId="0" borderId="1" xfId="0" applyFont="1" applyBorder="1" applyAlignment="1" applyProtection="1">
      <alignment horizontal="center" vertical="center" shrinkToFit="1"/>
      <protection locked="0"/>
    </xf>
    <xf numFmtId="0" fontId="21" fillId="0" borderId="3" xfId="0" applyFont="1" applyBorder="1" applyAlignment="1" applyProtection="1">
      <alignment horizontal="center" vertical="center" shrinkToFit="1"/>
      <protection locked="0"/>
    </xf>
    <xf numFmtId="0" fontId="21" fillId="0" borderId="2" xfId="0" applyFont="1" applyBorder="1" applyAlignment="1" applyProtection="1">
      <alignment horizontal="center" vertical="center" shrinkToFit="1"/>
      <protection locked="0"/>
    </xf>
    <xf numFmtId="0" fontId="21" fillId="0" borderId="15" xfId="0" applyFont="1" applyBorder="1" applyAlignment="1" applyProtection="1">
      <alignment horizontal="center" vertical="center" shrinkToFit="1"/>
      <protection locked="0"/>
    </xf>
    <xf numFmtId="0" fontId="21" fillId="0" borderId="0" xfId="0" applyFont="1" applyAlignment="1" applyProtection="1">
      <alignment horizontal="center" vertical="center" shrinkToFit="1"/>
      <protection locked="0"/>
    </xf>
    <xf numFmtId="0" fontId="21" fillId="0" borderId="41" xfId="0" applyFont="1" applyBorder="1" applyAlignment="1" applyProtection="1">
      <alignment horizontal="center" vertical="center" shrinkToFit="1"/>
      <protection locked="0"/>
    </xf>
    <xf numFmtId="0" fontId="21" fillId="0" borderId="6" xfId="0" applyFont="1" applyBorder="1" applyAlignment="1" applyProtection="1">
      <alignment horizontal="center" vertical="center" shrinkToFit="1"/>
      <protection locked="0"/>
    </xf>
    <xf numFmtId="0" fontId="21" fillId="0" borderId="8" xfId="0" applyFont="1" applyBorder="1" applyAlignment="1" applyProtection="1">
      <alignment horizontal="center" vertical="center" shrinkToFit="1"/>
      <protection locked="0"/>
    </xf>
    <xf numFmtId="0" fontId="21" fillId="0" borderId="7" xfId="0" applyFont="1" applyBorder="1" applyAlignment="1" applyProtection="1">
      <alignment horizontal="center" vertical="center" shrinkToFit="1"/>
      <protection locked="0"/>
    </xf>
    <xf numFmtId="0" fontId="22" fillId="9" borderId="1" xfId="0" applyFont="1" applyFill="1" applyBorder="1" applyAlignment="1" applyProtection="1">
      <alignment horizontal="center" vertical="center" shrinkToFit="1"/>
      <protection locked="0"/>
    </xf>
    <xf numFmtId="0" fontId="22" fillId="9" borderId="3" xfId="0" applyFont="1" applyFill="1" applyBorder="1" applyAlignment="1" applyProtection="1">
      <alignment horizontal="center" vertical="center" shrinkToFit="1"/>
      <protection locked="0"/>
    </xf>
    <xf numFmtId="0" fontId="22" fillId="9" borderId="2" xfId="0" applyFont="1" applyFill="1" applyBorder="1" applyAlignment="1" applyProtection="1">
      <alignment horizontal="center" vertical="center" shrinkToFit="1"/>
      <protection locked="0"/>
    </xf>
    <xf numFmtId="0" fontId="22" fillId="9" borderId="15" xfId="0" applyFont="1" applyFill="1" applyBorder="1" applyAlignment="1" applyProtection="1">
      <alignment horizontal="center" vertical="center" shrinkToFit="1"/>
      <protection locked="0"/>
    </xf>
    <xf numFmtId="0" fontId="22" fillId="9" borderId="0" xfId="0" applyFont="1" applyFill="1" applyAlignment="1" applyProtection="1">
      <alignment horizontal="center" vertical="center" shrinkToFit="1"/>
      <protection locked="0"/>
    </xf>
    <xf numFmtId="0" fontId="22" fillId="9" borderId="41" xfId="0" applyFont="1" applyFill="1" applyBorder="1" applyAlignment="1" applyProtection="1">
      <alignment horizontal="center" vertical="center" shrinkToFit="1"/>
      <protection locked="0"/>
    </xf>
    <xf numFmtId="0" fontId="22" fillId="9" borderId="6" xfId="0" applyFont="1" applyFill="1" applyBorder="1" applyAlignment="1" applyProtection="1">
      <alignment horizontal="center" vertical="center" shrinkToFit="1"/>
      <protection locked="0"/>
    </xf>
    <xf numFmtId="0" fontId="22" fillId="9" borderId="8" xfId="0" applyFont="1" applyFill="1" applyBorder="1" applyAlignment="1" applyProtection="1">
      <alignment horizontal="center" vertical="center" shrinkToFit="1"/>
      <protection locked="0"/>
    </xf>
    <xf numFmtId="0" fontId="22" fillId="9" borderId="7" xfId="0" applyFont="1" applyFill="1" applyBorder="1" applyAlignment="1" applyProtection="1">
      <alignment horizontal="center" vertical="center" shrinkToFit="1"/>
      <protection locked="0"/>
    </xf>
    <xf numFmtId="0" fontId="14" fillId="0" borderId="26" xfId="0" applyFont="1" applyBorder="1" applyAlignment="1" applyProtection="1">
      <alignment shrinkToFit="1"/>
      <protection locked="0"/>
    </xf>
    <xf numFmtId="0" fontId="20" fillId="0" borderId="1" xfId="0" applyFont="1" applyBorder="1" applyAlignment="1" applyProtection="1">
      <alignment horizontal="center" vertical="center" shrinkToFit="1"/>
      <protection locked="0"/>
    </xf>
    <xf numFmtId="0" fontId="20" fillId="0" borderId="3" xfId="0" applyFont="1" applyBorder="1" applyAlignment="1" applyProtection="1">
      <alignment horizontal="center" vertical="center" shrinkToFit="1"/>
      <protection locked="0"/>
    </xf>
    <xf numFmtId="0" fontId="20" fillId="0" borderId="2" xfId="0" applyFont="1" applyBorder="1" applyAlignment="1" applyProtection="1">
      <alignment horizontal="center" vertical="center" shrinkToFit="1"/>
      <protection locked="0"/>
    </xf>
    <xf numFmtId="0" fontId="20" fillId="0" borderId="15" xfId="0" applyFont="1" applyBorder="1" applyAlignment="1" applyProtection="1">
      <alignment horizontal="center" vertical="center" shrinkToFit="1"/>
      <protection locked="0"/>
    </xf>
    <xf numFmtId="0" fontId="20" fillId="0" borderId="0" xfId="0" applyFont="1" applyAlignment="1" applyProtection="1">
      <alignment horizontal="center" vertical="center" shrinkToFit="1"/>
      <protection locked="0"/>
    </xf>
    <xf numFmtId="0" fontId="20" fillId="0" borderId="41" xfId="0" applyFont="1" applyBorder="1" applyAlignment="1" applyProtection="1">
      <alignment horizontal="center" vertical="center" shrinkToFit="1"/>
      <protection locked="0"/>
    </xf>
    <xf numFmtId="0" fontId="20" fillId="0" borderId="6" xfId="0" applyFont="1" applyBorder="1" applyAlignment="1" applyProtection="1">
      <alignment horizontal="center" vertical="center" shrinkToFit="1"/>
      <protection locked="0"/>
    </xf>
    <xf numFmtId="0" fontId="20" fillId="0" borderId="8" xfId="0" applyFont="1" applyBorder="1" applyAlignment="1" applyProtection="1">
      <alignment horizontal="center" vertical="center" shrinkToFit="1"/>
      <protection locked="0"/>
    </xf>
    <xf numFmtId="0" fontId="20" fillId="0" borderId="7" xfId="0" applyFont="1" applyBorder="1" applyAlignment="1" applyProtection="1">
      <alignment horizontal="center" vertical="center" shrinkToFit="1"/>
      <protection locked="0"/>
    </xf>
    <xf numFmtId="0" fontId="19" fillId="0" borderId="1" xfId="0" applyFont="1" applyBorder="1" applyAlignment="1" applyProtection="1">
      <alignment horizontal="center" vertical="center" shrinkToFit="1"/>
      <protection locked="0"/>
    </xf>
    <xf numFmtId="0" fontId="19" fillId="0" borderId="3" xfId="0" applyFont="1" applyBorder="1" applyAlignment="1" applyProtection="1">
      <alignment horizontal="center" vertical="center" shrinkToFit="1"/>
      <protection locked="0"/>
    </xf>
    <xf numFmtId="0" fontId="19" fillId="0" borderId="2" xfId="0" applyFont="1" applyBorder="1" applyAlignment="1" applyProtection="1">
      <alignment horizontal="center" vertical="center" shrinkToFit="1"/>
      <protection locked="0"/>
    </xf>
    <xf numFmtId="0" fontId="19" fillId="0" borderId="15" xfId="0" applyFont="1" applyBorder="1" applyAlignment="1" applyProtection="1">
      <alignment horizontal="center" vertical="center" shrinkToFit="1"/>
      <protection locked="0"/>
    </xf>
    <xf numFmtId="0" fontId="19" fillId="0" borderId="0" xfId="0" applyFont="1" applyAlignment="1" applyProtection="1">
      <alignment horizontal="center" vertical="center" shrinkToFit="1"/>
      <protection locked="0"/>
    </xf>
    <xf numFmtId="0" fontId="19" fillId="0" borderId="41" xfId="0" applyFont="1" applyBorder="1" applyAlignment="1" applyProtection="1">
      <alignment horizontal="center" vertical="center" shrinkToFit="1"/>
      <protection locked="0"/>
    </xf>
    <xf numFmtId="0" fontId="19" fillId="0" borderId="6" xfId="0" applyFont="1" applyBorder="1" applyAlignment="1" applyProtection="1">
      <alignment horizontal="center" vertical="center" shrinkToFit="1"/>
      <protection locked="0"/>
    </xf>
    <xf numFmtId="0" fontId="19" fillId="0" borderId="8" xfId="0" applyFont="1" applyBorder="1" applyAlignment="1" applyProtection="1">
      <alignment horizontal="center" vertical="center" shrinkToFit="1"/>
      <protection locked="0"/>
    </xf>
    <xf numFmtId="0" fontId="19" fillId="0" borderId="7" xfId="0" applyFont="1" applyBorder="1" applyAlignment="1" applyProtection="1">
      <alignment horizontal="center" vertical="center" shrinkToFit="1"/>
      <protection locked="0"/>
    </xf>
    <xf numFmtId="0" fontId="0" fillId="7" borderId="21" xfId="0" applyFill="1" applyBorder="1" applyAlignment="1" applyProtection="1">
      <alignment horizontal="left" shrinkToFit="1"/>
      <protection locked="0"/>
    </xf>
    <xf numFmtId="0" fontId="0" fillId="7" borderId="18" xfId="0" applyFill="1" applyBorder="1" applyAlignment="1" applyProtection="1">
      <alignment horizontal="left" shrinkToFit="1"/>
      <protection locked="0"/>
    </xf>
    <xf numFmtId="0" fontId="14" fillId="5" borderId="21" xfId="0" applyFont="1" applyFill="1" applyBorder="1" applyAlignment="1" applyProtection="1">
      <alignment horizontal="center" shrinkToFit="1"/>
      <protection locked="0"/>
    </xf>
    <xf numFmtId="0" fontId="14" fillId="5" borderId="18" xfId="0" applyFont="1" applyFill="1" applyBorder="1" applyAlignment="1" applyProtection="1">
      <alignment horizontal="center" shrinkToFit="1"/>
      <protection locked="0"/>
    </xf>
    <xf numFmtId="0" fontId="17" fillId="8" borderId="21" xfId="0" applyFont="1" applyFill="1" applyBorder="1" applyAlignment="1" applyProtection="1">
      <alignment horizontal="left" shrinkToFit="1"/>
      <protection locked="0"/>
    </xf>
    <xf numFmtId="0" fontId="17" fillId="8" borderId="18" xfId="0" applyFont="1" applyFill="1" applyBorder="1" applyAlignment="1" applyProtection="1">
      <alignment horizontal="left" shrinkToFit="1"/>
      <protection locked="0"/>
    </xf>
    <xf numFmtId="0" fontId="0" fillId="5" borderId="21" xfId="0" applyFill="1" applyBorder="1" applyAlignment="1" applyProtection="1">
      <alignment horizontal="left" shrinkToFit="1"/>
      <protection locked="0"/>
    </xf>
    <xf numFmtId="0" fontId="0" fillId="5" borderId="18" xfId="0" applyFill="1" applyBorder="1" applyAlignment="1" applyProtection="1">
      <alignment horizontal="left" shrinkToFit="1"/>
      <protection locked="0"/>
    </xf>
    <xf numFmtId="0" fontId="14" fillId="8" borderId="28" xfId="0" applyFont="1" applyFill="1" applyBorder="1" applyAlignment="1" applyProtection="1">
      <alignment horizontal="left" shrinkToFit="1"/>
      <protection locked="0"/>
    </xf>
    <xf numFmtId="0" fontId="14" fillId="8" borderId="13" xfId="0" applyFont="1" applyFill="1" applyBorder="1" applyAlignment="1" applyProtection="1">
      <alignment horizontal="left" shrinkToFit="1"/>
      <protection locked="0"/>
    </xf>
    <xf numFmtId="0" fontId="13" fillId="8" borderId="26" xfId="0" applyFont="1" applyFill="1" applyBorder="1" applyAlignment="1" applyProtection="1">
      <alignment shrinkToFit="1"/>
      <protection locked="0"/>
    </xf>
    <xf numFmtId="0" fontId="13" fillId="8" borderId="24" xfId="0" applyFont="1" applyFill="1" applyBorder="1" applyAlignment="1" applyProtection="1">
      <alignment shrinkToFit="1"/>
      <protection locked="0"/>
    </xf>
    <xf numFmtId="0" fontId="13" fillId="8" borderId="21" xfId="0" applyFont="1" applyFill="1" applyBorder="1" applyAlignment="1" applyProtection="1">
      <alignment horizontal="left" shrinkToFit="1"/>
      <protection locked="0"/>
    </xf>
    <xf numFmtId="0" fontId="13" fillId="8" borderId="18" xfId="0" applyFont="1" applyFill="1" applyBorder="1" applyAlignment="1" applyProtection="1">
      <alignment horizontal="left" shrinkToFit="1"/>
      <protection locked="0"/>
    </xf>
    <xf numFmtId="0" fontId="0" fillId="5" borderId="20" xfId="0" applyFill="1" applyBorder="1" applyAlignment="1" applyProtection="1">
      <alignment horizontal="center" vertical="center" shrinkToFit="1"/>
      <protection locked="0"/>
    </xf>
    <xf numFmtId="0" fontId="0" fillId="5" borderId="18" xfId="0" applyFill="1" applyBorder="1" applyAlignment="1" applyProtection="1">
      <alignment horizontal="center" vertical="center" shrinkToFit="1"/>
      <protection locked="0"/>
    </xf>
    <xf numFmtId="0" fontId="0" fillId="5" borderId="26" xfId="0" applyFill="1" applyBorder="1" applyAlignment="1" applyProtection="1">
      <alignment horizontal="center" vertical="center" shrinkToFit="1"/>
      <protection locked="0"/>
    </xf>
    <xf numFmtId="0" fontId="0" fillId="5" borderId="24" xfId="0" applyFill="1" applyBorder="1" applyAlignment="1" applyProtection="1">
      <alignment horizontal="center" vertical="center" shrinkToFit="1"/>
      <protection locked="0"/>
    </xf>
    <xf numFmtId="0" fontId="0" fillId="7" borderId="20" xfId="0" applyFill="1" applyBorder="1" applyAlignment="1" applyProtection="1">
      <alignment horizontal="left" shrinkToFit="1"/>
      <protection locked="0"/>
    </xf>
    <xf numFmtId="0" fontId="11" fillId="7" borderId="18" xfId="0" applyFont="1" applyFill="1" applyBorder="1" applyAlignment="1" applyProtection="1">
      <alignment horizontal="left" shrinkToFit="1"/>
      <protection locked="0"/>
    </xf>
    <xf numFmtId="0" fontId="8" fillId="2" borderId="1" xfId="0" applyFont="1" applyFill="1" applyBorder="1" applyAlignment="1">
      <alignment horizontal="right" vertical="center"/>
    </xf>
    <xf numFmtId="0" fontId="0" fillId="5" borderId="1" xfId="0" applyFill="1" applyBorder="1" applyAlignment="1" applyProtection="1">
      <alignment horizontal="center" vertical="center" shrinkToFit="1"/>
      <protection locked="0"/>
    </xf>
    <xf numFmtId="0" fontId="0" fillId="5" borderId="4" xfId="0" applyFill="1" applyBorder="1" applyAlignment="1" applyProtection="1">
      <alignment horizontal="center" vertical="center" shrinkToFit="1"/>
      <protection locked="0"/>
    </xf>
    <xf numFmtId="0" fontId="0" fillId="5" borderId="15" xfId="0" applyFill="1" applyBorder="1" applyAlignment="1" applyProtection="1">
      <alignment horizontal="center" vertical="center" shrinkToFit="1"/>
      <protection locked="0"/>
    </xf>
    <xf numFmtId="0" fontId="0" fillId="5" borderId="38" xfId="0" applyFill="1" applyBorder="1" applyAlignment="1" applyProtection="1">
      <alignment horizontal="center" vertical="center" shrinkToFit="1"/>
      <protection locked="0"/>
    </xf>
    <xf numFmtId="0" fontId="0" fillId="5" borderId="6" xfId="0" applyFill="1" applyBorder="1" applyAlignment="1" applyProtection="1">
      <alignment horizontal="center" vertical="center" shrinkToFit="1"/>
      <protection locked="0"/>
    </xf>
    <xf numFmtId="0" fontId="0" fillId="5" borderId="9" xfId="0" applyFill="1" applyBorder="1" applyAlignment="1" applyProtection="1">
      <alignment horizontal="center" vertical="center" shrinkToFit="1"/>
      <protection locked="0"/>
    </xf>
    <xf numFmtId="176" fontId="0" fillId="5" borderId="5" xfId="0" applyNumberFormat="1" applyFill="1" applyBorder="1" applyAlignment="1" applyProtection="1">
      <alignment horizontal="center" vertical="center" shrinkToFit="1"/>
      <protection locked="0"/>
    </xf>
    <xf numFmtId="176" fontId="0" fillId="5" borderId="39" xfId="0" applyNumberFormat="1" applyFill="1" applyBorder="1" applyAlignment="1" applyProtection="1">
      <alignment horizontal="center" vertical="center" shrinkToFit="1"/>
      <protection locked="0"/>
    </xf>
    <xf numFmtId="176" fontId="0" fillId="5" borderId="10" xfId="0" applyNumberFormat="1" applyFill="1" applyBorder="1" applyAlignment="1" applyProtection="1">
      <alignment horizontal="center" vertical="center" shrinkToFit="1"/>
      <protection locked="0"/>
    </xf>
    <xf numFmtId="55" fontId="2" fillId="0" borderId="8" xfId="0" applyNumberFormat="1" applyFont="1" applyBorder="1" applyAlignment="1">
      <alignment horizontal="center"/>
    </xf>
    <xf numFmtId="55" fontId="7" fillId="0" borderId="8" xfId="0" applyNumberFormat="1" applyFont="1" applyBorder="1" applyAlignment="1">
      <alignment horizontal="center" vertical="center"/>
    </xf>
    <xf numFmtId="0" fontId="8" fillId="2" borderId="3" xfId="0" applyFont="1" applyFill="1" applyBorder="1" applyAlignment="1" applyProtection="1">
      <alignment horizontal="right" vertical="center"/>
      <protection locked="0"/>
    </xf>
    <xf numFmtId="0" fontId="8" fillId="2" borderId="8" xfId="0" applyFont="1" applyFill="1" applyBorder="1" applyAlignment="1" applyProtection="1">
      <alignment horizontal="right" vertical="center"/>
      <protection locked="0"/>
    </xf>
    <xf numFmtId="0" fontId="0" fillId="7" borderId="28" xfId="0" applyFill="1" applyBorder="1" applyAlignment="1" applyProtection="1">
      <alignment horizontal="left" shrinkToFit="1"/>
      <protection locked="0"/>
    </xf>
    <xf numFmtId="0" fontId="0" fillId="7" borderId="13" xfId="0" applyFill="1" applyBorder="1" applyAlignment="1" applyProtection="1">
      <alignment horizontal="left" shrinkToFit="1"/>
      <protection locked="0"/>
    </xf>
    <xf numFmtId="0" fontId="15" fillId="8" borderId="21" xfId="0" applyFont="1" applyFill="1" applyBorder="1" applyAlignment="1" applyProtection="1">
      <alignment horizontal="left" shrinkToFit="1"/>
      <protection locked="0"/>
    </xf>
    <xf numFmtId="0" fontId="15" fillId="8" borderId="18" xfId="0" applyFont="1" applyFill="1" applyBorder="1" applyAlignment="1" applyProtection="1">
      <alignment horizontal="left" shrinkToFit="1"/>
      <protection locked="0"/>
    </xf>
    <xf numFmtId="0" fontId="0" fillId="8" borderId="21" xfId="0" applyFill="1" applyBorder="1" applyAlignment="1" applyProtection="1">
      <alignment horizontal="left" shrinkToFit="1"/>
      <protection locked="0"/>
    </xf>
    <xf numFmtId="0" fontId="16" fillId="8" borderId="21" xfId="0" applyFont="1" applyFill="1" applyBorder="1" applyAlignment="1" applyProtection="1">
      <alignment horizontal="left" shrinkToFit="1"/>
      <protection locked="0"/>
    </xf>
    <xf numFmtId="0" fontId="16" fillId="8" borderId="18" xfId="0" applyFont="1" applyFill="1" applyBorder="1" applyAlignment="1" applyProtection="1">
      <alignment horizontal="left" shrinkToFit="1"/>
      <protection locked="0"/>
    </xf>
    <xf numFmtId="0" fontId="16" fillId="0" borderId="21" xfId="0" applyFont="1" applyBorder="1" applyAlignment="1" applyProtection="1">
      <alignment horizontal="left" shrinkToFit="1"/>
      <protection locked="0"/>
    </xf>
    <xf numFmtId="0" fontId="16" fillId="0" borderId="18" xfId="0" applyFont="1" applyBorder="1" applyAlignment="1" applyProtection="1">
      <alignment horizontal="left" shrinkToFit="1"/>
      <protection locked="0"/>
    </xf>
    <xf numFmtId="0" fontId="15" fillId="8" borderId="26" xfId="0" applyFont="1" applyFill="1" applyBorder="1" applyAlignment="1" applyProtection="1">
      <alignment shrinkToFit="1"/>
      <protection locked="0"/>
    </xf>
    <xf numFmtId="0" fontId="15" fillId="8" borderId="24" xfId="0" applyFont="1" applyFill="1" applyBorder="1" applyAlignment="1" applyProtection="1">
      <alignment shrinkToFit="1"/>
      <protection locked="0"/>
    </xf>
    <xf numFmtId="0" fontId="14" fillId="8" borderId="21" xfId="0" applyFont="1" applyFill="1" applyBorder="1" applyAlignment="1" applyProtection="1">
      <alignment horizontal="left" shrinkToFit="1"/>
      <protection locked="0"/>
    </xf>
    <xf numFmtId="0" fontId="14" fillId="8" borderId="18" xfId="0" applyFont="1" applyFill="1" applyBorder="1" applyAlignment="1" applyProtection="1">
      <alignment horizontal="left" shrinkToFit="1"/>
      <protection locked="0"/>
    </xf>
    <xf numFmtId="0" fontId="0" fillId="8" borderId="26" xfId="0" applyFill="1" applyBorder="1" applyAlignment="1" applyProtection="1">
      <alignment shrinkToFit="1"/>
      <protection locked="0"/>
    </xf>
    <xf numFmtId="0" fontId="0" fillId="8" borderId="24" xfId="0" applyFill="1" applyBorder="1" applyAlignment="1" applyProtection="1">
      <alignment shrinkToFit="1"/>
      <protection locked="0"/>
    </xf>
    <xf numFmtId="0" fontId="0" fillId="7" borderId="17" xfId="0" applyFill="1" applyBorder="1" applyAlignment="1" applyProtection="1">
      <alignment horizontal="left" shrinkToFit="1"/>
      <protection locked="0"/>
    </xf>
    <xf numFmtId="0" fontId="0" fillId="7" borderId="23" xfId="0" applyFill="1" applyBorder="1" applyAlignment="1" applyProtection="1">
      <alignment shrinkToFit="1"/>
      <protection locked="0"/>
    </xf>
    <xf numFmtId="0" fontId="0" fillId="7" borderId="24" xfId="0" applyFill="1" applyBorder="1" applyAlignment="1" applyProtection="1">
      <alignment shrinkToFit="1"/>
      <protection locked="0"/>
    </xf>
    <xf numFmtId="0" fontId="0" fillId="5" borderId="26" xfId="0" applyFill="1" applyBorder="1" applyAlignment="1" applyProtection="1">
      <alignment shrinkToFit="1"/>
      <protection locked="0"/>
    </xf>
    <xf numFmtId="0" fontId="0" fillId="5" borderId="24" xfId="0" applyFill="1" applyBorder="1" applyAlignment="1" applyProtection="1">
      <alignment shrinkToFit="1"/>
      <protection locked="0"/>
    </xf>
    <xf numFmtId="0" fontId="0" fillId="6" borderId="21" xfId="0" applyFill="1" applyBorder="1" applyAlignment="1" applyProtection="1">
      <alignment horizontal="left" shrinkToFit="1"/>
      <protection locked="0"/>
    </xf>
    <xf numFmtId="0" fontId="0" fillId="6" borderId="18" xfId="0" applyFill="1" applyBorder="1" applyAlignment="1" applyProtection="1">
      <alignment horizontal="left" shrinkToFit="1"/>
      <protection locked="0"/>
    </xf>
    <xf numFmtId="0" fontId="13" fillId="6" borderId="21" xfId="0" applyFont="1" applyFill="1" applyBorder="1" applyAlignment="1" applyProtection="1">
      <alignment horizontal="left" shrinkToFit="1"/>
      <protection locked="0"/>
    </xf>
    <xf numFmtId="0" fontId="13" fillId="6" borderId="18" xfId="0" applyFont="1" applyFill="1" applyBorder="1" applyAlignment="1" applyProtection="1">
      <alignment horizontal="left" shrinkToFit="1"/>
      <protection locked="0"/>
    </xf>
    <xf numFmtId="0" fontId="0" fillId="6" borderId="28" xfId="0" applyFill="1" applyBorder="1" applyAlignment="1" applyProtection="1">
      <alignment horizontal="left" shrinkToFit="1"/>
      <protection locked="0"/>
    </xf>
    <xf numFmtId="0" fontId="0" fillId="6" borderId="13" xfId="0" applyFill="1" applyBorder="1" applyAlignment="1" applyProtection="1">
      <alignment horizontal="left" shrinkToFit="1"/>
      <protection locked="0"/>
    </xf>
  </cellXfs>
  <cellStyles count="2">
    <cellStyle name="どちらでもない" xfId="1" builtinId="28"/>
    <cellStyle name="標準" xfId="0" builtinId="0"/>
  </cellStyles>
  <dxfs count="0"/>
  <tableStyles count="0" defaultTableStyle="TableStyleMedium2" defaultPivotStyle="PivotStyleLight16"/>
  <colors>
    <mruColors>
      <color rgb="FFCCFFCC"/>
      <color rgb="FFFF99FF"/>
      <color rgb="FFCCFFFF"/>
      <color rgb="FF99FF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653143</xdr:colOff>
      <xdr:row>0</xdr:row>
      <xdr:rowOff>272143</xdr:rowOff>
    </xdr:from>
    <xdr:to>
      <xdr:col>24</xdr:col>
      <xdr:colOff>217714</xdr:colOff>
      <xdr:row>5</xdr:row>
      <xdr:rowOff>190500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EE234E8-5284-46F8-BB31-A47F744C34D4}"/>
            </a:ext>
          </a:extLst>
        </xdr:cNvPr>
        <xdr:cNvSpPr/>
      </xdr:nvSpPr>
      <xdr:spPr>
        <a:xfrm>
          <a:off x="20503243" y="272143"/>
          <a:ext cx="3679371" cy="1194707"/>
        </a:xfrm>
        <a:prstGeom prst="rect">
          <a:avLst/>
        </a:prstGeom>
        <a:solidFill>
          <a:schemeClr val="accent2">
            <a:lumMod val="20000"/>
            <a:lumOff val="80000"/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祝日</a:t>
          </a:r>
        </a:p>
      </xdr:txBody>
    </xdr:sp>
    <xdr:clientData/>
  </xdr:twoCellAnchor>
  <xdr:twoCellAnchor>
    <xdr:from>
      <xdr:col>19</xdr:col>
      <xdr:colOff>40822</xdr:colOff>
      <xdr:row>13</xdr:row>
      <xdr:rowOff>176894</xdr:rowOff>
    </xdr:from>
    <xdr:to>
      <xdr:col>25</xdr:col>
      <xdr:colOff>217715</xdr:colOff>
      <xdr:row>38</xdr:row>
      <xdr:rowOff>40822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4E4B4B7-9D32-4461-A3D8-499055465F2E}"/>
            </a:ext>
          </a:extLst>
        </xdr:cNvPr>
        <xdr:cNvSpPr/>
      </xdr:nvSpPr>
      <xdr:spPr>
        <a:xfrm>
          <a:off x="20576722" y="3377294"/>
          <a:ext cx="4291693" cy="588372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自身の予定を張り付け</a:t>
          </a:r>
          <a:endParaRPr kumimoji="1" lang="en-US" altLang="ja-JP" sz="2000"/>
        </a:p>
        <a:p>
          <a:pPr algn="l"/>
          <a:r>
            <a:rPr kumimoji="1" lang="ja-JP" altLang="en-US" sz="2000"/>
            <a:t>背景は白</a:t>
          </a:r>
          <a:endParaRPr kumimoji="1" lang="en-US" altLang="ja-JP" sz="2000"/>
        </a:p>
        <a:p>
          <a:pPr algn="l"/>
          <a:r>
            <a:rPr kumimoji="1" lang="ja-JP" altLang="en-US" sz="2000"/>
            <a:t>文字は太文字にしない</a:t>
          </a:r>
          <a:endParaRPr kumimoji="1" lang="en-US" altLang="ja-JP" sz="2000"/>
        </a:p>
        <a:p>
          <a:pPr algn="l"/>
          <a:endParaRPr kumimoji="1" lang="en-US" altLang="ja-JP" sz="2000"/>
        </a:p>
        <a:p>
          <a:pPr algn="l"/>
          <a:r>
            <a:rPr kumimoji="1" lang="ja-JP" altLang="en-US" sz="2000"/>
            <a:t>翌々週のシートはなければ</a:t>
          </a:r>
          <a:r>
            <a:rPr kumimoji="1" lang="en-US" altLang="ja-JP" sz="2000"/>
            <a:t>00</a:t>
          </a:r>
          <a:r>
            <a:rPr kumimoji="1" lang="ja-JP" altLang="en-US" sz="2000"/>
            <a:t>シートをコピーしてシート名を対象月曜日の日付にする。</a:t>
          </a:r>
          <a:r>
            <a:rPr kumimoji="1" lang="en-US" altLang="ja-JP" sz="2000"/>
            <a:t>D1</a:t>
          </a:r>
          <a:r>
            <a:rPr kumimoji="1" lang="ja-JP" altLang="en-US" sz="2000"/>
            <a:t>の日付と対象月曜日の日付にする</a:t>
          </a:r>
          <a:endParaRPr kumimoji="1" lang="en-US" altLang="ja-JP" sz="2000"/>
        </a:p>
        <a:p>
          <a:pPr algn="l"/>
          <a:endParaRPr kumimoji="1" lang="ja-JP" altLang="en-US" sz="2000"/>
        </a:p>
      </xdr:txBody>
    </xdr:sp>
    <xdr:clientData/>
  </xdr:twoCellAnchor>
  <xdr:twoCellAnchor>
    <xdr:from>
      <xdr:col>19</xdr:col>
      <xdr:colOff>15875</xdr:colOff>
      <xdr:row>6</xdr:row>
      <xdr:rowOff>222250</xdr:rowOff>
    </xdr:from>
    <xdr:to>
      <xdr:col>24</xdr:col>
      <xdr:colOff>265472</xdr:colOff>
      <xdr:row>11</xdr:row>
      <xdr:rowOff>188365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1510B4B-A787-4A26-AEEF-50C96E30E9F2}"/>
            </a:ext>
          </a:extLst>
        </xdr:cNvPr>
        <xdr:cNvSpPr/>
      </xdr:nvSpPr>
      <xdr:spPr>
        <a:xfrm>
          <a:off x="20551775" y="1736725"/>
          <a:ext cx="3678597" cy="1166265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有給</a:t>
          </a:r>
        </a:p>
      </xdr:txBody>
    </xdr:sp>
    <xdr:clientData/>
  </xdr:twoCellAnchor>
  <xdr:twoCellAnchor>
    <xdr:from>
      <xdr:col>6</xdr:col>
      <xdr:colOff>28204</xdr:colOff>
      <xdr:row>36</xdr:row>
      <xdr:rowOff>40821</xdr:rowOff>
    </xdr:from>
    <xdr:to>
      <xdr:col>14</xdr:col>
      <xdr:colOff>1170214</xdr:colOff>
      <xdr:row>45</xdr:row>
      <xdr:rowOff>190499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B019218-889B-42D6-8C25-5C9E77554C63}"/>
            </a:ext>
          </a:extLst>
        </xdr:cNvPr>
        <xdr:cNvSpPr/>
      </xdr:nvSpPr>
      <xdr:spPr>
        <a:xfrm>
          <a:off x="5253347" y="8926285"/>
          <a:ext cx="10939153" cy="2354035"/>
        </a:xfrm>
        <a:prstGeom prst="rect">
          <a:avLst/>
        </a:prstGeom>
        <a:solidFill>
          <a:schemeClr val="accent2">
            <a:lumMod val="20000"/>
            <a:lumOff val="80000"/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休み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17318</xdr:colOff>
      <xdr:row>3</xdr:row>
      <xdr:rowOff>12368</xdr:rowOff>
    </xdr:from>
    <xdr:to>
      <xdr:col>18</xdr:col>
      <xdr:colOff>9896</xdr:colOff>
      <xdr:row>68</xdr:row>
      <xdr:rowOff>173181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97E517F-7387-43B4-B2E2-26430A02DBA2}"/>
            </a:ext>
          </a:extLst>
        </xdr:cNvPr>
        <xdr:cNvSpPr/>
      </xdr:nvSpPr>
      <xdr:spPr>
        <a:xfrm>
          <a:off x="16140545" y="809004"/>
          <a:ext cx="3629396" cy="15920359"/>
        </a:xfrm>
        <a:prstGeom prst="rect">
          <a:avLst/>
        </a:prstGeom>
        <a:solidFill>
          <a:schemeClr val="accent2">
            <a:lumMod val="20000"/>
            <a:lumOff val="80000"/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祝日</a:t>
          </a:r>
        </a:p>
      </xdr:txBody>
    </xdr:sp>
    <xdr:clientData/>
  </xdr:twoCellAnchor>
  <xdr:twoCellAnchor>
    <xdr:from>
      <xdr:col>19</xdr:col>
      <xdr:colOff>312965</xdr:colOff>
      <xdr:row>13</xdr:row>
      <xdr:rowOff>176894</xdr:rowOff>
    </xdr:from>
    <xdr:to>
      <xdr:col>25</xdr:col>
      <xdr:colOff>489858</xdr:colOff>
      <xdr:row>38</xdr:row>
      <xdr:rowOff>40822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CA382FC-C894-474B-BD56-FB2399262E2B}"/>
            </a:ext>
          </a:extLst>
        </xdr:cNvPr>
        <xdr:cNvSpPr/>
      </xdr:nvSpPr>
      <xdr:spPr>
        <a:xfrm>
          <a:off x="20914179" y="3429001"/>
          <a:ext cx="4259036" cy="598714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自身の予定を張り付け</a:t>
          </a:r>
          <a:endParaRPr kumimoji="1" lang="en-US" altLang="ja-JP" sz="2000"/>
        </a:p>
        <a:p>
          <a:pPr algn="l"/>
          <a:r>
            <a:rPr kumimoji="1" lang="ja-JP" altLang="en-US" sz="2000"/>
            <a:t>背景は白</a:t>
          </a:r>
          <a:endParaRPr kumimoji="1" lang="en-US" altLang="ja-JP" sz="2000"/>
        </a:p>
        <a:p>
          <a:pPr algn="l"/>
          <a:r>
            <a:rPr kumimoji="1" lang="ja-JP" altLang="en-US" sz="2000"/>
            <a:t>文字は太文字にしない</a:t>
          </a:r>
          <a:endParaRPr kumimoji="1" lang="en-US" altLang="ja-JP" sz="2000"/>
        </a:p>
        <a:p>
          <a:pPr algn="l"/>
          <a:endParaRPr kumimoji="1" lang="en-US" altLang="ja-JP" sz="2000"/>
        </a:p>
        <a:p>
          <a:pPr algn="l"/>
          <a:r>
            <a:rPr kumimoji="1" lang="ja-JP" altLang="en-US" sz="2000"/>
            <a:t>翌々週のシートはなければ</a:t>
          </a:r>
          <a:r>
            <a:rPr kumimoji="1" lang="en-US" altLang="ja-JP" sz="2000"/>
            <a:t>00</a:t>
          </a:r>
          <a:r>
            <a:rPr kumimoji="1" lang="ja-JP" altLang="en-US" sz="2000"/>
            <a:t>シートをコピーしてシート名を対象月曜日の日付にする。</a:t>
          </a:r>
          <a:r>
            <a:rPr kumimoji="1" lang="en-US" altLang="ja-JP" sz="2000"/>
            <a:t>D1</a:t>
          </a:r>
          <a:r>
            <a:rPr kumimoji="1" lang="ja-JP" altLang="en-US" sz="2000"/>
            <a:t>の日付と対象月曜日の日付にする</a:t>
          </a:r>
          <a:endParaRPr kumimoji="1" lang="en-US" altLang="ja-JP" sz="2000"/>
        </a:p>
        <a:p>
          <a:pPr algn="l"/>
          <a:endParaRPr kumimoji="1" lang="ja-JP" altLang="en-US" sz="2000"/>
        </a:p>
      </xdr:txBody>
    </xdr:sp>
    <xdr:clientData/>
  </xdr:twoCellAnchor>
  <xdr:twoCellAnchor>
    <xdr:from>
      <xdr:col>19</xdr:col>
      <xdr:colOff>179160</xdr:colOff>
      <xdr:row>6</xdr:row>
      <xdr:rowOff>222250</xdr:rowOff>
    </xdr:from>
    <xdr:to>
      <xdr:col>24</xdr:col>
      <xdr:colOff>428757</xdr:colOff>
      <xdr:row>11</xdr:row>
      <xdr:rowOff>188365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B135A7A-10F8-403B-9B8E-31969F3872B8}"/>
            </a:ext>
          </a:extLst>
        </xdr:cNvPr>
        <xdr:cNvSpPr/>
      </xdr:nvSpPr>
      <xdr:spPr>
        <a:xfrm>
          <a:off x="20780374" y="1759857"/>
          <a:ext cx="3651383" cy="1190758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有給</a:t>
          </a:r>
        </a:p>
      </xdr:txBody>
    </xdr:sp>
    <xdr:clientData/>
  </xdr:twoCellAnchor>
  <xdr:twoCellAnchor>
    <xdr:from>
      <xdr:col>6</xdr:col>
      <xdr:colOff>28204</xdr:colOff>
      <xdr:row>36</xdr:row>
      <xdr:rowOff>40821</xdr:rowOff>
    </xdr:from>
    <xdr:to>
      <xdr:col>11</xdr:col>
      <xdr:colOff>1211036</xdr:colOff>
      <xdr:row>45</xdr:row>
      <xdr:rowOff>190499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910B47B-2742-4020-9083-813A5DF13D60}"/>
            </a:ext>
          </a:extLst>
        </xdr:cNvPr>
        <xdr:cNvSpPr/>
      </xdr:nvSpPr>
      <xdr:spPr>
        <a:xfrm>
          <a:off x="5253347" y="8926285"/>
          <a:ext cx="7306046" cy="2354035"/>
        </a:xfrm>
        <a:prstGeom prst="rect">
          <a:avLst/>
        </a:prstGeom>
        <a:solidFill>
          <a:schemeClr val="accent2">
            <a:lumMod val="20000"/>
            <a:lumOff val="80000"/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休み</a:t>
          </a:r>
        </a:p>
      </xdr:txBody>
    </xdr:sp>
    <xdr:clientData/>
  </xdr:twoCellAnchor>
  <xdr:twoCellAnchor>
    <xdr:from>
      <xdr:col>3</xdr:col>
      <xdr:colOff>13608</xdr:colOff>
      <xdr:row>25</xdr:row>
      <xdr:rowOff>13606</xdr:rowOff>
    </xdr:from>
    <xdr:to>
      <xdr:col>5</xdr:col>
      <xdr:colOff>1197430</xdr:colOff>
      <xdr:row>34</xdr:row>
      <xdr:rowOff>231320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C48B48E-EC2F-4D8B-BE90-D483885591FC}"/>
            </a:ext>
          </a:extLst>
        </xdr:cNvPr>
        <xdr:cNvSpPr/>
      </xdr:nvSpPr>
      <xdr:spPr>
        <a:xfrm>
          <a:off x="1564822" y="6204856"/>
          <a:ext cx="3633108" cy="2422071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有給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653143</xdr:colOff>
      <xdr:row>0</xdr:row>
      <xdr:rowOff>272143</xdr:rowOff>
    </xdr:from>
    <xdr:to>
      <xdr:col>24</xdr:col>
      <xdr:colOff>217714</xdr:colOff>
      <xdr:row>5</xdr:row>
      <xdr:rowOff>190500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81C0B7F-0E14-468B-A9B5-8714FCA8C520}"/>
            </a:ext>
          </a:extLst>
        </xdr:cNvPr>
        <xdr:cNvSpPr/>
      </xdr:nvSpPr>
      <xdr:spPr>
        <a:xfrm>
          <a:off x="20503243" y="272143"/>
          <a:ext cx="3679371" cy="1194707"/>
        </a:xfrm>
        <a:prstGeom prst="rect">
          <a:avLst/>
        </a:prstGeom>
        <a:solidFill>
          <a:schemeClr val="accent2">
            <a:lumMod val="20000"/>
            <a:lumOff val="80000"/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祝日</a:t>
          </a:r>
        </a:p>
      </xdr:txBody>
    </xdr:sp>
    <xdr:clientData/>
  </xdr:twoCellAnchor>
  <xdr:twoCellAnchor>
    <xdr:from>
      <xdr:col>19</xdr:col>
      <xdr:colOff>40822</xdr:colOff>
      <xdr:row>13</xdr:row>
      <xdr:rowOff>176894</xdr:rowOff>
    </xdr:from>
    <xdr:to>
      <xdr:col>25</xdr:col>
      <xdr:colOff>217715</xdr:colOff>
      <xdr:row>38</xdr:row>
      <xdr:rowOff>40822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3D259B5-D3E6-4FE8-8FD4-FDC6AE341BDC}"/>
            </a:ext>
          </a:extLst>
        </xdr:cNvPr>
        <xdr:cNvSpPr/>
      </xdr:nvSpPr>
      <xdr:spPr>
        <a:xfrm>
          <a:off x="20576722" y="3377294"/>
          <a:ext cx="4291693" cy="588372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自身の予定を張り付け</a:t>
          </a:r>
          <a:endParaRPr kumimoji="1" lang="en-US" altLang="ja-JP" sz="2000"/>
        </a:p>
        <a:p>
          <a:pPr algn="l"/>
          <a:r>
            <a:rPr kumimoji="1" lang="ja-JP" altLang="en-US" sz="2000"/>
            <a:t>背景は白</a:t>
          </a:r>
          <a:endParaRPr kumimoji="1" lang="en-US" altLang="ja-JP" sz="2000"/>
        </a:p>
        <a:p>
          <a:pPr algn="l"/>
          <a:r>
            <a:rPr kumimoji="1" lang="ja-JP" altLang="en-US" sz="2000"/>
            <a:t>文字は太文字にしない</a:t>
          </a:r>
          <a:endParaRPr kumimoji="1" lang="en-US" altLang="ja-JP" sz="2000"/>
        </a:p>
        <a:p>
          <a:pPr algn="l"/>
          <a:endParaRPr kumimoji="1" lang="en-US" altLang="ja-JP" sz="2000"/>
        </a:p>
        <a:p>
          <a:pPr algn="l"/>
          <a:r>
            <a:rPr kumimoji="1" lang="ja-JP" altLang="en-US" sz="2000"/>
            <a:t>翌々週のシートはなければ</a:t>
          </a:r>
          <a:r>
            <a:rPr kumimoji="1" lang="en-US" altLang="ja-JP" sz="2000"/>
            <a:t>00</a:t>
          </a:r>
          <a:r>
            <a:rPr kumimoji="1" lang="ja-JP" altLang="en-US" sz="2000"/>
            <a:t>シートをコピーしてシート名を対象月曜日の日付にする。</a:t>
          </a:r>
          <a:r>
            <a:rPr kumimoji="1" lang="en-US" altLang="ja-JP" sz="2000"/>
            <a:t>D1</a:t>
          </a:r>
          <a:r>
            <a:rPr kumimoji="1" lang="ja-JP" altLang="en-US" sz="2000"/>
            <a:t>の日付と対象月曜日の日付にする</a:t>
          </a:r>
          <a:endParaRPr kumimoji="1" lang="en-US" altLang="ja-JP" sz="2000"/>
        </a:p>
        <a:p>
          <a:pPr algn="l"/>
          <a:endParaRPr kumimoji="1" lang="ja-JP" altLang="en-US" sz="2000"/>
        </a:p>
      </xdr:txBody>
    </xdr:sp>
    <xdr:clientData/>
  </xdr:twoCellAnchor>
  <xdr:twoCellAnchor>
    <xdr:from>
      <xdr:col>19</xdr:col>
      <xdr:colOff>15875</xdr:colOff>
      <xdr:row>6</xdr:row>
      <xdr:rowOff>222250</xdr:rowOff>
    </xdr:from>
    <xdr:to>
      <xdr:col>24</xdr:col>
      <xdr:colOff>265472</xdr:colOff>
      <xdr:row>11</xdr:row>
      <xdr:rowOff>188365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6122E9C0-1C2D-4C9B-AD21-65CD4D67CCF1}"/>
            </a:ext>
          </a:extLst>
        </xdr:cNvPr>
        <xdr:cNvSpPr/>
      </xdr:nvSpPr>
      <xdr:spPr>
        <a:xfrm>
          <a:off x="20551775" y="1736725"/>
          <a:ext cx="3678597" cy="1166265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有給</a:t>
          </a:r>
        </a:p>
      </xdr:txBody>
    </xdr:sp>
    <xdr:clientData/>
  </xdr:twoCellAnchor>
  <xdr:twoCellAnchor>
    <xdr:from>
      <xdr:col>5</xdr:col>
      <xdr:colOff>1205913</xdr:colOff>
      <xdr:row>36</xdr:row>
      <xdr:rowOff>57631</xdr:rowOff>
    </xdr:from>
    <xdr:to>
      <xdr:col>8</xdr:col>
      <xdr:colOff>1178699</xdr:colOff>
      <xdr:row>45</xdr:row>
      <xdr:rowOff>176973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51CB8425-B594-4A57-B65E-EBD94D7C4F67}"/>
            </a:ext>
          </a:extLst>
        </xdr:cNvPr>
        <xdr:cNvSpPr/>
      </xdr:nvSpPr>
      <xdr:spPr>
        <a:xfrm>
          <a:off x="5206413" y="8719778"/>
          <a:ext cx="3637110" cy="2248460"/>
        </a:xfrm>
        <a:prstGeom prst="rect">
          <a:avLst/>
        </a:prstGeom>
        <a:solidFill>
          <a:schemeClr val="accent2">
            <a:lumMod val="20000"/>
            <a:lumOff val="80000"/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休み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653143</xdr:colOff>
      <xdr:row>0</xdr:row>
      <xdr:rowOff>272143</xdr:rowOff>
    </xdr:from>
    <xdr:to>
      <xdr:col>24</xdr:col>
      <xdr:colOff>217714</xdr:colOff>
      <xdr:row>5</xdr:row>
      <xdr:rowOff>190500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8B58AFE-234E-4262-AED6-FE95030335A7}"/>
            </a:ext>
          </a:extLst>
        </xdr:cNvPr>
        <xdr:cNvSpPr/>
      </xdr:nvSpPr>
      <xdr:spPr>
        <a:xfrm>
          <a:off x="20503243" y="272143"/>
          <a:ext cx="3679371" cy="1194707"/>
        </a:xfrm>
        <a:prstGeom prst="rect">
          <a:avLst/>
        </a:prstGeom>
        <a:solidFill>
          <a:schemeClr val="accent2">
            <a:lumMod val="20000"/>
            <a:lumOff val="80000"/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祝日</a:t>
          </a:r>
        </a:p>
      </xdr:txBody>
    </xdr:sp>
    <xdr:clientData/>
  </xdr:twoCellAnchor>
  <xdr:twoCellAnchor>
    <xdr:from>
      <xdr:col>19</xdr:col>
      <xdr:colOff>40822</xdr:colOff>
      <xdr:row>13</xdr:row>
      <xdr:rowOff>176894</xdr:rowOff>
    </xdr:from>
    <xdr:to>
      <xdr:col>25</xdr:col>
      <xdr:colOff>217715</xdr:colOff>
      <xdr:row>38</xdr:row>
      <xdr:rowOff>40822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D38C182-C1E1-4909-A0E5-9FD333D46810}"/>
            </a:ext>
          </a:extLst>
        </xdr:cNvPr>
        <xdr:cNvSpPr/>
      </xdr:nvSpPr>
      <xdr:spPr>
        <a:xfrm>
          <a:off x="20576722" y="3377294"/>
          <a:ext cx="4291693" cy="588372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自身の予定を張り付け</a:t>
          </a:r>
          <a:endParaRPr kumimoji="1" lang="en-US" altLang="ja-JP" sz="2000"/>
        </a:p>
        <a:p>
          <a:pPr algn="l"/>
          <a:r>
            <a:rPr kumimoji="1" lang="ja-JP" altLang="en-US" sz="2000"/>
            <a:t>背景は白</a:t>
          </a:r>
          <a:endParaRPr kumimoji="1" lang="en-US" altLang="ja-JP" sz="2000"/>
        </a:p>
        <a:p>
          <a:pPr algn="l"/>
          <a:r>
            <a:rPr kumimoji="1" lang="ja-JP" altLang="en-US" sz="2000"/>
            <a:t>文字は太文字にしない</a:t>
          </a:r>
          <a:endParaRPr kumimoji="1" lang="en-US" altLang="ja-JP" sz="2000"/>
        </a:p>
        <a:p>
          <a:pPr algn="l"/>
          <a:endParaRPr kumimoji="1" lang="en-US" altLang="ja-JP" sz="2000"/>
        </a:p>
        <a:p>
          <a:pPr algn="l"/>
          <a:r>
            <a:rPr kumimoji="1" lang="ja-JP" altLang="en-US" sz="2000"/>
            <a:t>翌々週のシートはなければ</a:t>
          </a:r>
          <a:r>
            <a:rPr kumimoji="1" lang="en-US" altLang="ja-JP" sz="2000"/>
            <a:t>00</a:t>
          </a:r>
          <a:r>
            <a:rPr kumimoji="1" lang="ja-JP" altLang="en-US" sz="2000"/>
            <a:t>シートをコピーしてシート名を対象月曜日の日付にする。</a:t>
          </a:r>
          <a:r>
            <a:rPr kumimoji="1" lang="en-US" altLang="ja-JP" sz="2000"/>
            <a:t>D1</a:t>
          </a:r>
          <a:r>
            <a:rPr kumimoji="1" lang="ja-JP" altLang="en-US" sz="2000"/>
            <a:t>の日付と対象月曜日の日付にする</a:t>
          </a:r>
          <a:endParaRPr kumimoji="1" lang="en-US" altLang="ja-JP" sz="2000"/>
        </a:p>
        <a:p>
          <a:pPr algn="l"/>
          <a:endParaRPr kumimoji="1" lang="ja-JP" altLang="en-US" sz="2000"/>
        </a:p>
      </xdr:txBody>
    </xdr:sp>
    <xdr:clientData/>
  </xdr:twoCellAnchor>
  <xdr:twoCellAnchor>
    <xdr:from>
      <xdr:col>19</xdr:col>
      <xdr:colOff>15875</xdr:colOff>
      <xdr:row>6</xdr:row>
      <xdr:rowOff>222250</xdr:rowOff>
    </xdr:from>
    <xdr:to>
      <xdr:col>24</xdr:col>
      <xdr:colOff>265472</xdr:colOff>
      <xdr:row>11</xdr:row>
      <xdr:rowOff>188365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423FEA8-FB5C-4611-8C16-EDEC46DCA345}"/>
            </a:ext>
          </a:extLst>
        </xdr:cNvPr>
        <xdr:cNvSpPr/>
      </xdr:nvSpPr>
      <xdr:spPr>
        <a:xfrm>
          <a:off x="20551775" y="1736725"/>
          <a:ext cx="3678597" cy="1166265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有給</a:t>
          </a:r>
        </a:p>
      </xdr:txBody>
    </xdr:sp>
    <xdr:clientData/>
  </xdr:twoCellAnchor>
  <xdr:twoCellAnchor>
    <xdr:from>
      <xdr:col>9</xdr:col>
      <xdr:colOff>4669</xdr:colOff>
      <xdr:row>3</xdr:row>
      <xdr:rowOff>15742</xdr:rowOff>
    </xdr:from>
    <xdr:to>
      <xdr:col>11</xdr:col>
      <xdr:colOff>1206766</xdr:colOff>
      <xdr:row>7</xdr:row>
      <xdr:rowOff>226785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F31D5C32-0576-1E0C-6AA4-481B0D2C0686}"/>
            </a:ext>
          </a:extLst>
        </xdr:cNvPr>
        <xdr:cNvSpPr/>
      </xdr:nvSpPr>
      <xdr:spPr>
        <a:xfrm>
          <a:off x="8890934" y="811360"/>
          <a:ext cx="3644979" cy="1152337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有給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653143</xdr:colOff>
      <xdr:row>0</xdr:row>
      <xdr:rowOff>272143</xdr:rowOff>
    </xdr:from>
    <xdr:to>
      <xdr:col>24</xdr:col>
      <xdr:colOff>217714</xdr:colOff>
      <xdr:row>5</xdr:row>
      <xdr:rowOff>190500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FDE8635-F4A7-4A52-A1DC-B720EBB65869}"/>
            </a:ext>
          </a:extLst>
        </xdr:cNvPr>
        <xdr:cNvSpPr/>
      </xdr:nvSpPr>
      <xdr:spPr>
        <a:xfrm>
          <a:off x="20503243" y="272143"/>
          <a:ext cx="3679371" cy="1194707"/>
        </a:xfrm>
        <a:prstGeom prst="rect">
          <a:avLst/>
        </a:prstGeom>
        <a:solidFill>
          <a:schemeClr val="accent2">
            <a:lumMod val="20000"/>
            <a:lumOff val="80000"/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祝日</a:t>
          </a:r>
        </a:p>
      </xdr:txBody>
    </xdr:sp>
    <xdr:clientData/>
  </xdr:twoCellAnchor>
  <xdr:twoCellAnchor>
    <xdr:from>
      <xdr:col>19</xdr:col>
      <xdr:colOff>40822</xdr:colOff>
      <xdr:row>13</xdr:row>
      <xdr:rowOff>176894</xdr:rowOff>
    </xdr:from>
    <xdr:to>
      <xdr:col>25</xdr:col>
      <xdr:colOff>217715</xdr:colOff>
      <xdr:row>27</xdr:row>
      <xdr:rowOff>40822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B6FD4D8-3DF4-46F6-AFB9-9DCA9AA89C9A}"/>
            </a:ext>
          </a:extLst>
        </xdr:cNvPr>
        <xdr:cNvSpPr/>
      </xdr:nvSpPr>
      <xdr:spPr>
        <a:xfrm>
          <a:off x="20576722" y="3377294"/>
          <a:ext cx="4291693" cy="323577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自身の予定を張り付け</a:t>
          </a:r>
          <a:endParaRPr kumimoji="1" lang="en-US" altLang="ja-JP" sz="2000"/>
        </a:p>
        <a:p>
          <a:pPr algn="l"/>
          <a:r>
            <a:rPr kumimoji="1" lang="ja-JP" altLang="en-US" sz="2000"/>
            <a:t>背景は白</a:t>
          </a:r>
          <a:endParaRPr kumimoji="1" lang="en-US" altLang="ja-JP" sz="2000"/>
        </a:p>
        <a:p>
          <a:pPr algn="l"/>
          <a:r>
            <a:rPr kumimoji="1" lang="ja-JP" altLang="en-US" sz="2000"/>
            <a:t>文字は太文字にしない</a:t>
          </a:r>
          <a:endParaRPr kumimoji="1" lang="en-US" altLang="ja-JP" sz="2000"/>
        </a:p>
        <a:p>
          <a:pPr algn="l"/>
          <a:endParaRPr kumimoji="1" lang="en-US" altLang="ja-JP" sz="2000"/>
        </a:p>
        <a:p>
          <a:pPr algn="l"/>
          <a:r>
            <a:rPr kumimoji="1" lang="ja-JP" altLang="en-US" sz="2000"/>
            <a:t>翌々週のシートはなければ</a:t>
          </a:r>
          <a:r>
            <a:rPr kumimoji="1" lang="en-US" altLang="ja-JP" sz="2000"/>
            <a:t>00</a:t>
          </a:r>
          <a:r>
            <a:rPr kumimoji="1" lang="ja-JP" altLang="en-US" sz="2000"/>
            <a:t>シートをコピーしてシート名を対象月曜日の日付にする。</a:t>
          </a:r>
          <a:r>
            <a:rPr kumimoji="1" lang="en-US" altLang="ja-JP" sz="2000"/>
            <a:t>D1</a:t>
          </a:r>
          <a:r>
            <a:rPr kumimoji="1" lang="ja-JP" altLang="en-US" sz="2000"/>
            <a:t>の日付と対象月曜日の日付にする</a:t>
          </a:r>
          <a:endParaRPr kumimoji="1" lang="en-US" altLang="ja-JP" sz="2000"/>
        </a:p>
        <a:p>
          <a:pPr algn="l"/>
          <a:endParaRPr kumimoji="1" lang="ja-JP" altLang="en-US" sz="2000"/>
        </a:p>
      </xdr:txBody>
    </xdr:sp>
    <xdr:clientData/>
  </xdr:twoCellAnchor>
  <xdr:twoCellAnchor>
    <xdr:from>
      <xdr:col>19</xdr:col>
      <xdr:colOff>15875</xdr:colOff>
      <xdr:row>6</xdr:row>
      <xdr:rowOff>222250</xdr:rowOff>
    </xdr:from>
    <xdr:to>
      <xdr:col>24</xdr:col>
      <xdr:colOff>265472</xdr:colOff>
      <xdr:row>11</xdr:row>
      <xdr:rowOff>188365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D2DA4BA-02DC-40AC-B415-DA390E86A173}"/>
            </a:ext>
          </a:extLst>
        </xdr:cNvPr>
        <xdr:cNvSpPr/>
      </xdr:nvSpPr>
      <xdr:spPr>
        <a:xfrm>
          <a:off x="20551775" y="1736725"/>
          <a:ext cx="3678597" cy="1166265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有給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653143</xdr:colOff>
      <xdr:row>0</xdr:row>
      <xdr:rowOff>272143</xdr:rowOff>
    </xdr:from>
    <xdr:to>
      <xdr:col>24</xdr:col>
      <xdr:colOff>217714</xdr:colOff>
      <xdr:row>5</xdr:row>
      <xdr:rowOff>190500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C6015D0-A647-4F3F-AB7C-9DB202732A8F}"/>
            </a:ext>
          </a:extLst>
        </xdr:cNvPr>
        <xdr:cNvSpPr/>
      </xdr:nvSpPr>
      <xdr:spPr>
        <a:xfrm>
          <a:off x="20503243" y="272143"/>
          <a:ext cx="3679371" cy="1194707"/>
        </a:xfrm>
        <a:prstGeom prst="rect">
          <a:avLst/>
        </a:prstGeom>
        <a:solidFill>
          <a:schemeClr val="accent2">
            <a:lumMod val="20000"/>
            <a:lumOff val="80000"/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祝日</a:t>
          </a:r>
        </a:p>
      </xdr:txBody>
    </xdr:sp>
    <xdr:clientData/>
  </xdr:twoCellAnchor>
  <xdr:twoCellAnchor>
    <xdr:from>
      <xdr:col>19</xdr:col>
      <xdr:colOff>40822</xdr:colOff>
      <xdr:row>13</xdr:row>
      <xdr:rowOff>176894</xdr:rowOff>
    </xdr:from>
    <xdr:to>
      <xdr:col>25</xdr:col>
      <xdr:colOff>217715</xdr:colOff>
      <xdr:row>27</xdr:row>
      <xdr:rowOff>40822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11BDB6F-9AAA-4ABF-9B7C-54435F579D2E}"/>
            </a:ext>
          </a:extLst>
        </xdr:cNvPr>
        <xdr:cNvSpPr/>
      </xdr:nvSpPr>
      <xdr:spPr>
        <a:xfrm>
          <a:off x="20576722" y="3377294"/>
          <a:ext cx="4291693" cy="323577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自身の予定を張り付け</a:t>
          </a:r>
          <a:endParaRPr kumimoji="1" lang="en-US" altLang="ja-JP" sz="2000"/>
        </a:p>
        <a:p>
          <a:pPr algn="l"/>
          <a:r>
            <a:rPr kumimoji="1" lang="ja-JP" altLang="en-US" sz="2000"/>
            <a:t>背景は白</a:t>
          </a:r>
          <a:endParaRPr kumimoji="1" lang="en-US" altLang="ja-JP" sz="2000"/>
        </a:p>
        <a:p>
          <a:pPr algn="l"/>
          <a:r>
            <a:rPr kumimoji="1" lang="ja-JP" altLang="en-US" sz="2000"/>
            <a:t>文字は太文字にしない</a:t>
          </a:r>
          <a:endParaRPr kumimoji="1" lang="en-US" altLang="ja-JP" sz="2000"/>
        </a:p>
        <a:p>
          <a:pPr algn="l"/>
          <a:endParaRPr kumimoji="1" lang="en-US" altLang="ja-JP" sz="2000"/>
        </a:p>
        <a:p>
          <a:pPr algn="l"/>
          <a:r>
            <a:rPr kumimoji="1" lang="ja-JP" altLang="en-US" sz="2000"/>
            <a:t>翌々週のシートはなければ</a:t>
          </a:r>
          <a:r>
            <a:rPr kumimoji="1" lang="en-US" altLang="ja-JP" sz="2000"/>
            <a:t>00</a:t>
          </a:r>
          <a:r>
            <a:rPr kumimoji="1" lang="ja-JP" altLang="en-US" sz="2000"/>
            <a:t>シートをコピーしてシート名を対象月曜日の日付にする。</a:t>
          </a:r>
          <a:r>
            <a:rPr kumimoji="1" lang="en-US" altLang="ja-JP" sz="2000"/>
            <a:t>D1</a:t>
          </a:r>
          <a:r>
            <a:rPr kumimoji="1" lang="ja-JP" altLang="en-US" sz="2000"/>
            <a:t>の日付と対象月曜日の日付にする</a:t>
          </a:r>
          <a:endParaRPr kumimoji="1" lang="en-US" altLang="ja-JP" sz="2000"/>
        </a:p>
        <a:p>
          <a:pPr algn="l"/>
          <a:endParaRPr kumimoji="1" lang="ja-JP" altLang="en-US" sz="2000"/>
        </a:p>
      </xdr:txBody>
    </xdr:sp>
    <xdr:clientData/>
  </xdr:twoCellAnchor>
  <xdr:twoCellAnchor>
    <xdr:from>
      <xdr:col>19</xdr:col>
      <xdr:colOff>15875</xdr:colOff>
      <xdr:row>6</xdr:row>
      <xdr:rowOff>222250</xdr:rowOff>
    </xdr:from>
    <xdr:to>
      <xdr:col>24</xdr:col>
      <xdr:colOff>265472</xdr:colOff>
      <xdr:row>11</xdr:row>
      <xdr:rowOff>188365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1E37C5D-569B-4860-8EEC-C50850C88FED}"/>
            </a:ext>
          </a:extLst>
        </xdr:cNvPr>
        <xdr:cNvSpPr/>
      </xdr:nvSpPr>
      <xdr:spPr>
        <a:xfrm>
          <a:off x="20551775" y="1736725"/>
          <a:ext cx="3678597" cy="1166265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有給</a:t>
          </a:r>
        </a:p>
      </xdr:txBody>
    </xdr:sp>
    <xdr:clientData/>
  </xdr:twoCellAnchor>
  <xdr:twoCellAnchor>
    <xdr:from>
      <xdr:col>3</xdr:col>
      <xdr:colOff>22411</xdr:colOff>
      <xdr:row>3</xdr:row>
      <xdr:rowOff>22411</xdr:rowOff>
    </xdr:from>
    <xdr:to>
      <xdr:col>8</xdr:col>
      <xdr:colOff>1187822</xdr:colOff>
      <xdr:row>24</xdr:row>
      <xdr:rowOff>237191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7F6D532-5057-40F7-AC7E-64085E352648}"/>
            </a:ext>
          </a:extLst>
        </xdr:cNvPr>
        <xdr:cNvSpPr/>
      </xdr:nvSpPr>
      <xdr:spPr>
        <a:xfrm>
          <a:off x="1580029" y="818029"/>
          <a:ext cx="7272617" cy="5212603"/>
        </a:xfrm>
        <a:prstGeom prst="rect">
          <a:avLst/>
        </a:prstGeom>
        <a:solidFill>
          <a:schemeClr val="accent2">
            <a:lumMod val="20000"/>
            <a:lumOff val="80000"/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祝日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1206499</xdr:colOff>
      <xdr:row>3</xdr:row>
      <xdr:rowOff>31750</xdr:rowOff>
    </xdr:from>
    <xdr:to>
      <xdr:col>8</xdr:col>
      <xdr:colOff>1217839</xdr:colOff>
      <xdr:row>25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5F60A9D-6F65-4412-9BAB-46E3ACDC1C84}"/>
            </a:ext>
          </a:extLst>
        </xdr:cNvPr>
        <xdr:cNvSpPr/>
      </xdr:nvSpPr>
      <xdr:spPr>
        <a:xfrm>
          <a:off x="5206999" y="827368"/>
          <a:ext cx="3675664" cy="5212603"/>
        </a:xfrm>
        <a:prstGeom prst="rect">
          <a:avLst/>
        </a:prstGeom>
        <a:solidFill>
          <a:schemeClr val="accent2">
            <a:lumMod val="20000"/>
            <a:lumOff val="80000"/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祝日</a:t>
          </a:r>
        </a:p>
      </xdr:txBody>
    </xdr:sp>
    <xdr:clientData/>
  </xdr:twoCellAnchor>
  <xdr:twoCellAnchor>
    <xdr:from>
      <xdr:col>19</xdr:col>
      <xdr:colOff>40822</xdr:colOff>
      <xdr:row>13</xdr:row>
      <xdr:rowOff>176894</xdr:rowOff>
    </xdr:from>
    <xdr:to>
      <xdr:col>25</xdr:col>
      <xdr:colOff>217715</xdr:colOff>
      <xdr:row>27</xdr:row>
      <xdr:rowOff>40822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4F0FD71-B60C-4885-B2FA-0A1E80A1351E}"/>
            </a:ext>
          </a:extLst>
        </xdr:cNvPr>
        <xdr:cNvSpPr/>
      </xdr:nvSpPr>
      <xdr:spPr>
        <a:xfrm>
          <a:off x="20576722" y="3377294"/>
          <a:ext cx="4291693" cy="323577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自身の予定を張り付け</a:t>
          </a:r>
          <a:endParaRPr kumimoji="1" lang="en-US" altLang="ja-JP" sz="2000"/>
        </a:p>
        <a:p>
          <a:pPr algn="l"/>
          <a:r>
            <a:rPr kumimoji="1" lang="ja-JP" altLang="en-US" sz="2000"/>
            <a:t>背景は白</a:t>
          </a:r>
          <a:endParaRPr kumimoji="1" lang="en-US" altLang="ja-JP" sz="2000"/>
        </a:p>
        <a:p>
          <a:pPr algn="l"/>
          <a:r>
            <a:rPr kumimoji="1" lang="ja-JP" altLang="en-US" sz="2000"/>
            <a:t>文字は太文字にしない</a:t>
          </a:r>
          <a:endParaRPr kumimoji="1" lang="en-US" altLang="ja-JP" sz="2000"/>
        </a:p>
        <a:p>
          <a:pPr algn="l"/>
          <a:endParaRPr kumimoji="1" lang="en-US" altLang="ja-JP" sz="2000"/>
        </a:p>
        <a:p>
          <a:pPr algn="l"/>
          <a:r>
            <a:rPr kumimoji="1" lang="ja-JP" altLang="en-US" sz="2000"/>
            <a:t>翌々週のシートはなければ</a:t>
          </a:r>
          <a:r>
            <a:rPr kumimoji="1" lang="en-US" altLang="ja-JP" sz="2000"/>
            <a:t>00</a:t>
          </a:r>
          <a:r>
            <a:rPr kumimoji="1" lang="ja-JP" altLang="en-US" sz="2000"/>
            <a:t>シートをコピーしてシート名を対象月曜日の日付にする。</a:t>
          </a:r>
          <a:r>
            <a:rPr kumimoji="1" lang="en-US" altLang="ja-JP" sz="2000"/>
            <a:t>D1</a:t>
          </a:r>
          <a:r>
            <a:rPr kumimoji="1" lang="ja-JP" altLang="en-US" sz="2000"/>
            <a:t>の日付と対象月曜日の日付にする</a:t>
          </a:r>
          <a:endParaRPr kumimoji="1" lang="en-US" altLang="ja-JP" sz="2000"/>
        </a:p>
        <a:p>
          <a:pPr algn="l"/>
          <a:endParaRPr kumimoji="1" lang="ja-JP" altLang="en-US" sz="2000"/>
        </a:p>
      </xdr:txBody>
    </xdr:sp>
    <xdr:clientData/>
  </xdr:twoCellAnchor>
  <xdr:twoCellAnchor>
    <xdr:from>
      <xdr:col>19</xdr:col>
      <xdr:colOff>15875</xdr:colOff>
      <xdr:row>6</xdr:row>
      <xdr:rowOff>222250</xdr:rowOff>
    </xdr:from>
    <xdr:to>
      <xdr:col>24</xdr:col>
      <xdr:colOff>265472</xdr:colOff>
      <xdr:row>11</xdr:row>
      <xdr:rowOff>188365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3547088E-7739-4248-81A0-D5B126D7FBE9}"/>
            </a:ext>
          </a:extLst>
        </xdr:cNvPr>
        <xdr:cNvSpPr/>
      </xdr:nvSpPr>
      <xdr:spPr>
        <a:xfrm>
          <a:off x="20551775" y="1736725"/>
          <a:ext cx="3678597" cy="1166265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有給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653143</xdr:colOff>
      <xdr:row>0</xdr:row>
      <xdr:rowOff>272143</xdr:rowOff>
    </xdr:from>
    <xdr:to>
      <xdr:col>24</xdr:col>
      <xdr:colOff>217714</xdr:colOff>
      <xdr:row>5</xdr:row>
      <xdr:rowOff>190500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5939077-06B3-4A96-8636-6E774C1F79BB}"/>
            </a:ext>
          </a:extLst>
        </xdr:cNvPr>
        <xdr:cNvSpPr/>
      </xdr:nvSpPr>
      <xdr:spPr>
        <a:xfrm>
          <a:off x="20503243" y="272143"/>
          <a:ext cx="3679371" cy="1194707"/>
        </a:xfrm>
        <a:prstGeom prst="rect">
          <a:avLst/>
        </a:prstGeom>
        <a:solidFill>
          <a:schemeClr val="accent2">
            <a:lumMod val="20000"/>
            <a:lumOff val="80000"/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祝日</a:t>
          </a:r>
        </a:p>
      </xdr:txBody>
    </xdr:sp>
    <xdr:clientData/>
  </xdr:twoCellAnchor>
  <xdr:twoCellAnchor>
    <xdr:from>
      <xdr:col>19</xdr:col>
      <xdr:colOff>40822</xdr:colOff>
      <xdr:row>13</xdr:row>
      <xdr:rowOff>176894</xdr:rowOff>
    </xdr:from>
    <xdr:to>
      <xdr:col>25</xdr:col>
      <xdr:colOff>217715</xdr:colOff>
      <xdr:row>27</xdr:row>
      <xdr:rowOff>40822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32FB180-A062-49C2-902E-8F9AF271AAB4}"/>
            </a:ext>
          </a:extLst>
        </xdr:cNvPr>
        <xdr:cNvSpPr/>
      </xdr:nvSpPr>
      <xdr:spPr>
        <a:xfrm>
          <a:off x="20576722" y="3377294"/>
          <a:ext cx="4291693" cy="323577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自身の予定を張り付け</a:t>
          </a:r>
          <a:endParaRPr kumimoji="1" lang="en-US" altLang="ja-JP" sz="2000"/>
        </a:p>
        <a:p>
          <a:pPr algn="l"/>
          <a:r>
            <a:rPr kumimoji="1" lang="ja-JP" altLang="en-US" sz="2000"/>
            <a:t>背景は白</a:t>
          </a:r>
          <a:endParaRPr kumimoji="1" lang="en-US" altLang="ja-JP" sz="2000"/>
        </a:p>
        <a:p>
          <a:pPr algn="l"/>
          <a:r>
            <a:rPr kumimoji="1" lang="ja-JP" altLang="en-US" sz="2000"/>
            <a:t>文字は太文字にしない</a:t>
          </a:r>
          <a:endParaRPr kumimoji="1" lang="en-US" altLang="ja-JP" sz="2000"/>
        </a:p>
        <a:p>
          <a:pPr algn="l"/>
          <a:endParaRPr kumimoji="1" lang="en-US" altLang="ja-JP" sz="2000"/>
        </a:p>
        <a:p>
          <a:pPr algn="l"/>
          <a:r>
            <a:rPr kumimoji="1" lang="ja-JP" altLang="en-US" sz="2000"/>
            <a:t>翌々週のシートはなければ</a:t>
          </a:r>
          <a:r>
            <a:rPr kumimoji="1" lang="en-US" altLang="ja-JP" sz="2000"/>
            <a:t>00</a:t>
          </a:r>
          <a:r>
            <a:rPr kumimoji="1" lang="ja-JP" altLang="en-US" sz="2000"/>
            <a:t>シートをコピーしてシート名を対象月曜日の日付にする。</a:t>
          </a:r>
          <a:r>
            <a:rPr kumimoji="1" lang="en-US" altLang="ja-JP" sz="2000"/>
            <a:t>D1</a:t>
          </a:r>
          <a:r>
            <a:rPr kumimoji="1" lang="ja-JP" altLang="en-US" sz="2000"/>
            <a:t>の日付と対象月曜日の日付にする</a:t>
          </a:r>
          <a:endParaRPr kumimoji="1" lang="en-US" altLang="ja-JP" sz="2000"/>
        </a:p>
        <a:p>
          <a:pPr algn="l"/>
          <a:endParaRPr kumimoji="1" lang="ja-JP" altLang="en-US" sz="2000"/>
        </a:p>
      </xdr:txBody>
    </xdr:sp>
    <xdr:clientData/>
  </xdr:twoCellAnchor>
  <xdr:twoCellAnchor>
    <xdr:from>
      <xdr:col>19</xdr:col>
      <xdr:colOff>15875</xdr:colOff>
      <xdr:row>6</xdr:row>
      <xdr:rowOff>222250</xdr:rowOff>
    </xdr:from>
    <xdr:to>
      <xdr:col>24</xdr:col>
      <xdr:colOff>265472</xdr:colOff>
      <xdr:row>11</xdr:row>
      <xdr:rowOff>188365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3ED3858-6277-4984-B227-6A8F71029FA9}"/>
            </a:ext>
          </a:extLst>
        </xdr:cNvPr>
        <xdr:cNvSpPr/>
      </xdr:nvSpPr>
      <xdr:spPr>
        <a:xfrm>
          <a:off x="20551775" y="1736725"/>
          <a:ext cx="3678597" cy="1166265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有給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653143</xdr:colOff>
      <xdr:row>0</xdr:row>
      <xdr:rowOff>272143</xdr:rowOff>
    </xdr:from>
    <xdr:to>
      <xdr:col>24</xdr:col>
      <xdr:colOff>217714</xdr:colOff>
      <xdr:row>5</xdr:row>
      <xdr:rowOff>190500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E0F95B2-712B-48F5-B75A-49E0CDA96555}"/>
            </a:ext>
          </a:extLst>
        </xdr:cNvPr>
        <xdr:cNvSpPr/>
      </xdr:nvSpPr>
      <xdr:spPr>
        <a:xfrm>
          <a:off x="20503243" y="272143"/>
          <a:ext cx="3679371" cy="1194707"/>
        </a:xfrm>
        <a:prstGeom prst="rect">
          <a:avLst/>
        </a:prstGeom>
        <a:solidFill>
          <a:schemeClr val="accent2">
            <a:lumMod val="20000"/>
            <a:lumOff val="80000"/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祝日</a:t>
          </a:r>
        </a:p>
      </xdr:txBody>
    </xdr:sp>
    <xdr:clientData/>
  </xdr:twoCellAnchor>
  <xdr:twoCellAnchor>
    <xdr:from>
      <xdr:col>19</xdr:col>
      <xdr:colOff>0</xdr:colOff>
      <xdr:row>8</xdr:row>
      <xdr:rowOff>0</xdr:rowOff>
    </xdr:from>
    <xdr:to>
      <xdr:col>24</xdr:col>
      <xdr:colOff>244928</xdr:colOff>
      <xdr:row>12</xdr:row>
      <xdr:rowOff>231321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4EAEEE7-498A-4C29-BC84-B6BC333A7F32}"/>
            </a:ext>
          </a:extLst>
        </xdr:cNvPr>
        <xdr:cNvSpPr/>
      </xdr:nvSpPr>
      <xdr:spPr>
        <a:xfrm>
          <a:off x="20535900" y="2000250"/>
          <a:ext cx="3673928" cy="1183821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有給</a:t>
          </a:r>
        </a:p>
      </xdr:txBody>
    </xdr:sp>
    <xdr:clientData/>
  </xdr:twoCellAnchor>
  <xdr:twoCellAnchor>
    <xdr:from>
      <xdr:col>19</xdr:col>
      <xdr:colOff>40822</xdr:colOff>
      <xdr:row>13</xdr:row>
      <xdr:rowOff>176894</xdr:rowOff>
    </xdr:from>
    <xdr:to>
      <xdr:col>25</xdr:col>
      <xdr:colOff>217715</xdr:colOff>
      <xdr:row>27</xdr:row>
      <xdr:rowOff>40822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55030354-CE76-48EC-9F8C-A4AA6FEC43EF}"/>
            </a:ext>
          </a:extLst>
        </xdr:cNvPr>
        <xdr:cNvSpPr/>
      </xdr:nvSpPr>
      <xdr:spPr>
        <a:xfrm>
          <a:off x="20576722" y="3377294"/>
          <a:ext cx="4291693" cy="323577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自身の予定を張り付け</a:t>
          </a:r>
          <a:endParaRPr kumimoji="1" lang="en-US" altLang="ja-JP" sz="2000"/>
        </a:p>
        <a:p>
          <a:pPr algn="l"/>
          <a:r>
            <a:rPr kumimoji="1" lang="ja-JP" altLang="en-US" sz="2000"/>
            <a:t>背景は白</a:t>
          </a:r>
          <a:endParaRPr kumimoji="1" lang="en-US" altLang="ja-JP" sz="2000"/>
        </a:p>
        <a:p>
          <a:pPr algn="l"/>
          <a:r>
            <a:rPr kumimoji="1" lang="ja-JP" altLang="en-US" sz="2000"/>
            <a:t>文字は太文字にしない</a:t>
          </a:r>
          <a:endParaRPr kumimoji="1" lang="en-US" altLang="ja-JP" sz="2000"/>
        </a:p>
        <a:p>
          <a:pPr algn="l"/>
          <a:endParaRPr kumimoji="1" lang="en-US" altLang="ja-JP" sz="2000"/>
        </a:p>
        <a:p>
          <a:pPr algn="l"/>
          <a:r>
            <a:rPr kumimoji="1" lang="ja-JP" altLang="en-US" sz="2000"/>
            <a:t>翌々週のシートはなければ</a:t>
          </a:r>
          <a:r>
            <a:rPr kumimoji="1" lang="en-US" altLang="ja-JP" sz="2000"/>
            <a:t>00</a:t>
          </a:r>
          <a:r>
            <a:rPr kumimoji="1" lang="ja-JP" altLang="en-US" sz="2000"/>
            <a:t>シートをコピーしてシート名を対象月曜日の日付にする。</a:t>
          </a:r>
          <a:r>
            <a:rPr kumimoji="1" lang="en-US" altLang="ja-JP" sz="2000"/>
            <a:t>D1</a:t>
          </a:r>
          <a:r>
            <a:rPr kumimoji="1" lang="ja-JP" altLang="en-US" sz="2000"/>
            <a:t>の日付と対象月曜日の日付にする</a:t>
          </a:r>
          <a:endParaRPr kumimoji="1" lang="en-US" altLang="ja-JP" sz="2000"/>
        </a:p>
        <a:p>
          <a:pPr algn="l"/>
          <a:endParaRPr kumimoji="1" lang="ja-JP" altLang="en-US" sz="2000"/>
        </a:p>
      </xdr:txBody>
    </xdr:sp>
    <xdr:clientData/>
  </xdr:twoCellAnchor>
  <xdr:twoCellAnchor>
    <xdr:from>
      <xdr:col>6</xdr:col>
      <xdr:colOff>44824</xdr:colOff>
      <xdr:row>3</xdr:row>
      <xdr:rowOff>22411</xdr:rowOff>
    </xdr:from>
    <xdr:to>
      <xdr:col>8</xdr:col>
      <xdr:colOff>1176617</xdr:colOff>
      <xdr:row>7</xdr:row>
      <xdr:rowOff>212912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E1A935A9-E30C-43FD-A8D0-4C9B4BBF6EAC}"/>
            </a:ext>
          </a:extLst>
        </xdr:cNvPr>
        <xdr:cNvSpPr/>
      </xdr:nvSpPr>
      <xdr:spPr>
        <a:xfrm>
          <a:off x="5266765" y="818029"/>
          <a:ext cx="3574676" cy="1131795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半給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653143</xdr:colOff>
      <xdr:row>0</xdr:row>
      <xdr:rowOff>272143</xdr:rowOff>
    </xdr:from>
    <xdr:to>
      <xdr:col>24</xdr:col>
      <xdr:colOff>217714</xdr:colOff>
      <xdr:row>5</xdr:row>
      <xdr:rowOff>190500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308ED4E-54BB-4A37-82D2-786E43E330BB}"/>
            </a:ext>
          </a:extLst>
        </xdr:cNvPr>
        <xdr:cNvSpPr/>
      </xdr:nvSpPr>
      <xdr:spPr>
        <a:xfrm>
          <a:off x="20503243" y="272143"/>
          <a:ext cx="3679371" cy="1194707"/>
        </a:xfrm>
        <a:prstGeom prst="rect">
          <a:avLst/>
        </a:prstGeom>
        <a:solidFill>
          <a:schemeClr val="accent2">
            <a:lumMod val="20000"/>
            <a:lumOff val="80000"/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祝日</a:t>
          </a:r>
        </a:p>
      </xdr:txBody>
    </xdr:sp>
    <xdr:clientData/>
  </xdr:twoCellAnchor>
  <xdr:twoCellAnchor>
    <xdr:from>
      <xdr:col>19</xdr:col>
      <xdr:colOff>0</xdr:colOff>
      <xdr:row>8</xdr:row>
      <xdr:rowOff>0</xdr:rowOff>
    </xdr:from>
    <xdr:to>
      <xdr:col>24</xdr:col>
      <xdr:colOff>244928</xdr:colOff>
      <xdr:row>12</xdr:row>
      <xdr:rowOff>231321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929EF0E-7C8D-4B9A-B7DC-4E069A3A6F30}"/>
            </a:ext>
          </a:extLst>
        </xdr:cNvPr>
        <xdr:cNvSpPr/>
      </xdr:nvSpPr>
      <xdr:spPr>
        <a:xfrm>
          <a:off x="20535900" y="2000250"/>
          <a:ext cx="3673928" cy="1183821"/>
        </a:xfrm>
        <a:prstGeom prst="rect">
          <a:avLst/>
        </a:prstGeom>
        <a:solidFill>
          <a:srgbClr val="CCFFC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有給</a:t>
          </a:r>
        </a:p>
      </xdr:txBody>
    </xdr:sp>
    <xdr:clientData/>
  </xdr:twoCellAnchor>
  <xdr:twoCellAnchor>
    <xdr:from>
      <xdr:col>19</xdr:col>
      <xdr:colOff>40822</xdr:colOff>
      <xdr:row>13</xdr:row>
      <xdr:rowOff>176894</xdr:rowOff>
    </xdr:from>
    <xdr:to>
      <xdr:col>25</xdr:col>
      <xdr:colOff>217715</xdr:colOff>
      <xdr:row>27</xdr:row>
      <xdr:rowOff>40822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9F28FC8-990A-4F5F-BFCC-BE69C45A3F68}"/>
            </a:ext>
          </a:extLst>
        </xdr:cNvPr>
        <xdr:cNvSpPr/>
      </xdr:nvSpPr>
      <xdr:spPr>
        <a:xfrm>
          <a:off x="20576722" y="3377294"/>
          <a:ext cx="4291693" cy="323577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自身の予定を張り付け</a:t>
          </a:r>
          <a:endParaRPr kumimoji="1" lang="en-US" altLang="ja-JP" sz="2000"/>
        </a:p>
        <a:p>
          <a:pPr algn="l"/>
          <a:r>
            <a:rPr kumimoji="1" lang="ja-JP" altLang="en-US" sz="2000"/>
            <a:t>背景は白</a:t>
          </a:r>
          <a:endParaRPr kumimoji="1" lang="en-US" altLang="ja-JP" sz="2000"/>
        </a:p>
        <a:p>
          <a:pPr algn="l"/>
          <a:r>
            <a:rPr kumimoji="1" lang="ja-JP" altLang="en-US" sz="2000"/>
            <a:t>文字は太文字にしない</a:t>
          </a:r>
          <a:endParaRPr kumimoji="1" lang="en-US" altLang="ja-JP" sz="2000"/>
        </a:p>
        <a:p>
          <a:pPr algn="l"/>
          <a:endParaRPr kumimoji="1" lang="en-US" altLang="ja-JP" sz="2000"/>
        </a:p>
        <a:p>
          <a:pPr algn="l"/>
          <a:r>
            <a:rPr kumimoji="1" lang="ja-JP" altLang="en-US" sz="2000"/>
            <a:t>翌々週のシートはなければ</a:t>
          </a:r>
          <a:r>
            <a:rPr kumimoji="1" lang="en-US" altLang="ja-JP" sz="2000"/>
            <a:t>00</a:t>
          </a:r>
          <a:r>
            <a:rPr kumimoji="1" lang="ja-JP" altLang="en-US" sz="2000"/>
            <a:t>シートをコピーしてシート名を対象月曜日の日付にする。</a:t>
          </a:r>
          <a:r>
            <a:rPr kumimoji="1" lang="en-US" altLang="ja-JP" sz="2000"/>
            <a:t>D1</a:t>
          </a:r>
          <a:r>
            <a:rPr kumimoji="1" lang="ja-JP" altLang="en-US" sz="2000"/>
            <a:t>の日付と対象月曜日の日付にする</a:t>
          </a:r>
          <a:endParaRPr kumimoji="1" lang="en-US" altLang="ja-JP" sz="2000"/>
        </a:p>
        <a:p>
          <a:pPr algn="l"/>
          <a:endParaRPr kumimoji="1" lang="ja-JP" altLang="en-US" sz="20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653143</xdr:colOff>
      <xdr:row>0</xdr:row>
      <xdr:rowOff>272143</xdr:rowOff>
    </xdr:from>
    <xdr:to>
      <xdr:col>24</xdr:col>
      <xdr:colOff>217714</xdr:colOff>
      <xdr:row>5</xdr:row>
      <xdr:rowOff>190500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1CFD316-A982-446A-AD46-41D1CB18FE39}"/>
            </a:ext>
          </a:extLst>
        </xdr:cNvPr>
        <xdr:cNvSpPr/>
      </xdr:nvSpPr>
      <xdr:spPr>
        <a:xfrm>
          <a:off x="20503243" y="272143"/>
          <a:ext cx="3679371" cy="1194707"/>
        </a:xfrm>
        <a:prstGeom prst="rect">
          <a:avLst/>
        </a:prstGeom>
        <a:solidFill>
          <a:schemeClr val="accent2">
            <a:lumMod val="20000"/>
            <a:lumOff val="80000"/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祝日</a:t>
          </a:r>
        </a:p>
      </xdr:txBody>
    </xdr:sp>
    <xdr:clientData/>
  </xdr:twoCellAnchor>
  <xdr:twoCellAnchor>
    <xdr:from>
      <xdr:col>12</xdr:col>
      <xdr:colOff>22412</xdr:colOff>
      <xdr:row>3</xdr:row>
      <xdr:rowOff>22412</xdr:rowOff>
    </xdr:from>
    <xdr:to>
      <xdr:col>17</xdr:col>
      <xdr:colOff>1176618</xdr:colOff>
      <xdr:row>12</xdr:row>
      <xdr:rowOff>212912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B28F733-79CE-4DF6-B2DA-41DBDAF9771F}"/>
            </a:ext>
          </a:extLst>
        </xdr:cNvPr>
        <xdr:cNvSpPr/>
      </xdr:nvSpPr>
      <xdr:spPr>
        <a:xfrm>
          <a:off x="12573000" y="818030"/>
          <a:ext cx="7261412" cy="2319617"/>
        </a:xfrm>
        <a:prstGeom prst="rect">
          <a:avLst/>
        </a:prstGeom>
        <a:solidFill>
          <a:srgbClr val="CCFFC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有給（検査入院）</a:t>
          </a:r>
        </a:p>
      </xdr:txBody>
    </xdr:sp>
    <xdr:clientData/>
  </xdr:twoCellAnchor>
  <xdr:twoCellAnchor>
    <xdr:from>
      <xdr:col>19</xdr:col>
      <xdr:colOff>40822</xdr:colOff>
      <xdr:row>13</xdr:row>
      <xdr:rowOff>176894</xdr:rowOff>
    </xdr:from>
    <xdr:to>
      <xdr:col>25</xdr:col>
      <xdr:colOff>217715</xdr:colOff>
      <xdr:row>27</xdr:row>
      <xdr:rowOff>40822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335A07F7-07D5-4F5A-955A-E451253BAC48}"/>
            </a:ext>
          </a:extLst>
        </xdr:cNvPr>
        <xdr:cNvSpPr/>
      </xdr:nvSpPr>
      <xdr:spPr>
        <a:xfrm>
          <a:off x="20576722" y="3377294"/>
          <a:ext cx="4291693" cy="323577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自身の予定を張り付け</a:t>
          </a:r>
          <a:endParaRPr kumimoji="1" lang="en-US" altLang="ja-JP" sz="2000"/>
        </a:p>
        <a:p>
          <a:pPr algn="l"/>
          <a:r>
            <a:rPr kumimoji="1" lang="ja-JP" altLang="en-US" sz="2000"/>
            <a:t>背景は白</a:t>
          </a:r>
          <a:endParaRPr kumimoji="1" lang="en-US" altLang="ja-JP" sz="2000"/>
        </a:p>
        <a:p>
          <a:pPr algn="l"/>
          <a:r>
            <a:rPr kumimoji="1" lang="ja-JP" altLang="en-US" sz="2000"/>
            <a:t>文字は太文字にしない</a:t>
          </a:r>
          <a:endParaRPr kumimoji="1" lang="en-US" altLang="ja-JP" sz="2000"/>
        </a:p>
        <a:p>
          <a:pPr algn="l"/>
          <a:endParaRPr kumimoji="1" lang="en-US" altLang="ja-JP" sz="2000"/>
        </a:p>
        <a:p>
          <a:pPr algn="l"/>
          <a:r>
            <a:rPr kumimoji="1" lang="ja-JP" altLang="en-US" sz="2000"/>
            <a:t>翌々週のシートはなければ</a:t>
          </a:r>
          <a:r>
            <a:rPr kumimoji="1" lang="en-US" altLang="ja-JP" sz="2000"/>
            <a:t>00</a:t>
          </a:r>
          <a:r>
            <a:rPr kumimoji="1" lang="ja-JP" altLang="en-US" sz="2000"/>
            <a:t>シートをコピーしてシート名を対象月曜日の日付にする。</a:t>
          </a:r>
          <a:r>
            <a:rPr kumimoji="1" lang="en-US" altLang="ja-JP" sz="2000"/>
            <a:t>D1</a:t>
          </a:r>
          <a:r>
            <a:rPr kumimoji="1" lang="ja-JP" altLang="en-US" sz="2000"/>
            <a:t>の日付と対象月曜日の日付にする</a:t>
          </a:r>
          <a:endParaRPr kumimoji="1" lang="en-US" altLang="ja-JP" sz="2000"/>
        </a:p>
        <a:p>
          <a:pPr algn="l"/>
          <a:endParaRPr kumimoji="1" lang="ja-JP" altLang="en-US" sz="20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653143</xdr:colOff>
      <xdr:row>0</xdr:row>
      <xdr:rowOff>272143</xdr:rowOff>
    </xdr:from>
    <xdr:to>
      <xdr:col>24</xdr:col>
      <xdr:colOff>217714</xdr:colOff>
      <xdr:row>5</xdr:row>
      <xdr:rowOff>190500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3E15485-C392-4CAB-A646-AAB9A1F7A70B}"/>
            </a:ext>
          </a:extLst>
        </xdr:cNvPr>
        <xdr:cNvSpPr/>
      </xdr:nvSpPr>
      <xdr:spPr>
        <a:xfrm>
          <a:off x="20503243" y="272143"/>
          <a:ext cx="3679371" cy="1194707"/>
        </a:xfrm>
        <a:prstGeom prst="rect">
          <a:avLst/>
        </a:prstGeom>
        <a:solidFill>
          <a:schemeClr val="accent2">
            <a:lumMod val="20000"/>
            <a:lumOff val="80000"/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祝日</a:t>
          </a:r>
        </a:p>
      </xdr:txBody>
    </xdr:sp>
    <xdr:clientData/>
  </xdr:twoCellAnchor>
  <xdr:twoCellAnchor>
    <xdr:from>
      <xdr:col>19</xdr:col>
      <xdr:colOff>0</xdr:colOff>
      <xdr:row>8</xdr:row>
      <xdr:rowOff>0</xdr:rowOff>
    </xdr:from>
    <xdr:to>
      <xdr:col>24</xdr:col>
      <xdr:colOff>244928</xdr:colOff>
      <xdr:row>12</xdr:row>
      <xdr:rowOff>231321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D442513-531A-4A67-B8CC-DDEB2E51DD0A}"/>
            </a:ext>
          </a:extLst>
        </xdr:cNvPr>
        <xdr:cNvSpPr/>
      </xdr:nvSpPr>
      <xdr:spPr>
        <a:xfrm>
          <a:off x="20535900" y="2000250"/>
          <a:ext cx="3673928" cy="1183821"/>
        </a:xfrm>
        <a:prstGeom prst="rect">
          <a:avLst/>
        </a:prstGeom>
        <a:solidFill>
          <a:srgbClr val="CCFFC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有給</a:t>
          </a:r>
        </a:p>
      </xdr:txBody>
    </xdr:sp>
    <xdr:clientData/>
  </xdr:twoCellAnchor>
  <xdr:twoCellAnchor>
    <xdr:from>
      <xdr:col>19</xdr:col>
      <xdr:colOff>40822</xdr:colOff>
      <xdr:row>13</xdr:row>
      <xdr:rowOff>176894</xdr:rowOff>
    </xdr:from>
    <xdr:to>
      <xdr:col>25</xdr:col>
      <xdr:colOff>217715</xdr:colOff>
      <xdr:row>27</xdr:row>
      <xdr:rowOff>40822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58DD288A-30DE-45F0-81C3-16E988890E34}"/>
            </a:ext>
          </a:extLst>
        </xdr:cNvPr>
        <xdr:cNvSpPr/>
      </xdr:nvSpPr>
      <xdr:spPr>
        <a:xfrm>
          <a:off x="20576722" y="3377294"/>
          <a:ext cx="4291693" cy="323577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自身の予定を張り付け</a:t>
          </a:r>
          <a:endParaRPr kumimoji="1" lang="en-US" altLang="ja-JP" sz="2000"/>
        </a:p>
        <a:p>
          <a:pPr algn="l"/>
          <a:r>
            <a:rPr kumimoji="1" lang="ja-JP" altLang="en-US" sz="2000"/>
            <a:t>背景は白</a:t>
          </a:r>
          <a:endParaRPr kumimoji="1" lang="en-US" altLang="ja-JP" sz="2000"/>
        </a:p>
        <a:p>
          <a:pPr algn="l"/>
          <a:r>
            <a:rPr kumimoji="1" lang="ja-JP" altLang="en-US" sz="2000"/>
            <a:t>文字は太文字にしない</a:t>
          </a:r>
          <a:endParaRPr kumimoji="1" lang="en-US" altLang="ja-JP" sz="2000"/>
        </a:p>
        <a:p>
          <a:pPr algn="l"/>
          <a:endParaRPr kumimoji="1" lang="en-US" altLang="ja-JP" sz="2000"/>
        </a:p>
        <a:p>
          <a:pPr algn="l"/>
          <a:r>
            <a:rPr kumimoji="1" lang="ja-JP" altLang="en-US" sz="2000"/>
            <a:t>翌々週のシートはなければ</a:t>
          </a:r>
          <a:r>
            <a:rPr kumimoji="1" lang="en-US" altLang="ja-JP" sz="2000"/>
            <a:t>00</a:t>
          </a:r>
          <a:r>
            <a:rPr kumimoji="1" lang="ja-JP" altLang="en-US" sz="2000"/>
            <a:t>シートをコピーしてシート名を対象月曜日の日付にする。</a:t>
          </a:r>
          <a:r>
            <a:rPr kumimoji="1" lang="en-US" altLang="ja-JP" sz="2000"/>
            <a:t>D1</a:t>
          </a:r>
          <a:r>
            <a:rPr kumimoji="1" lang="ja-JP" altLang="en-US" sz="2000"/>
            <a:t>の日付と対象月曜日の日付にする</a:t>
          </a:r>
          <a:endParaRPr kumimoji="1" lang="en-US" altLang="ja-JP" sz="2000"/>
        </a:p>
        <a:p>
          <a:pPr algn="l"/>
          <a:endParaRPr kumimoji="1" lang="ja-JP" altLang="en-US" sz="20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3202</xdr:colOff>
      <xdr:row>3</xdr:row>
      <xdr:rowOff>25613</xdr:rowOff>
    </xdr:from>
    <xdr:to>
      <xdr:col>15</xdr:col>
      <xdr:colOff>4802</xdr:colOff>
      <xdr:row>24</xdr:row>
      <xdr:rowOff>224118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7B42F43-4F97-4B3C-B8B5-79FAD7F2B635}"/>
            </a:ext>
          </a:extLst>
        </xdr:cNvPr>
        <xdr:cNvSpPr/>
      </xdr:nvSpPr>
      <xdr:spPr>
        <a:xfrm>
          <a:off x="12553790" y="821231"/>
          <a:ext cx="3665924" cy="5196328"/>
        </a:xfrm>
        <a:prstGeom prst="rect">
          <a:avLst/>
        </a:prstGeom>
        <a:solidFill>
          <a:schemeClr val="accent2">
            <a:lumMod val="20000"/>
            <a:lumOff val="80000"/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祝日</a:t>
          </a:r>
        </a:p>
      </xdr:txBody>
    </xdr:sp>
    <xdr:clientData/>
  </xdr:twoCellAnchor>
  <xdr:twoCellAnchor>
    <xdr:from>
      <xdr:col>18</xdr:col>
      <xdr:colOff>672352</xdr:colOff>
      <xdr:row>7</xdr:row>
      <xdr:rowOff>145675</xdr:rowOff>
    </xdr:from>
    <xdr:to>
      <xdr:col>24</xdr:col>
      <xdr:colOff>211310</xdr:colOff>
      <xdr:row>12</xdr:row>
      <xdr:rowOff>123263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E4C0583-8D19-4223-985A-B09634FD70DE}"/>
            </a:ext>
          </a:extLst>
        </xdr:cNvPr>
        <xdr:cNvSpPr/>
      </xdr:nvSpPr>
      <xdr:spPr>
        <a:xfrm>
          <a:off x="20551587" y="1882587"/>
          <a:ext cx="3640311" cy="1165411"/>
        </a:xfrm>
        <a:prstGeom prst="rect">
          <a:avLst/>
        </a:prstGeom>
        <a:solidFill>
          <a:srgbClr val="CCFFC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有給</a:t>
          </a:r>
        </a:p>
      </xdr:txBody>
    </xdr:sp>
    <xdr:clientData/>
  </xdr:twoCellAnchor>
  <xdr:twoCellAnchor>
    <xdr:from>
      <xdr:col>19</xdr:col>
      <xdr:colOff>40822</xdr:colOff>
      <xdr:row>13</xdr:row>
      <xdr:rowOff>176894</xdr:rowOff>
    </xdr:from>
    <xdr:to>
      <xdr:col>25</xdr:col>
      <xdr:colOff>217715</xdr:colOff>
      <xdr:row>27</xdr:row>
      <xdr:rowOff>40822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898F805-81EF-4187-867C-1AC04189575A}"/>
            </a:ext>
          </a:extLst>
        </xdr:cNvPr>
        <xdr:cNvSpPr/>
      </xdr:nvSpPr>
      <xdr:spPr>
        <a:xfrm>
          <a:off x="20576722" y="3377294"/>
          <a:ext cx="4291693" cy="323577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自身の予定を張り付け</a:t>
          </a:r>
          <a:endParaRPr kumimoji="1" lang="en-US" altLang="ja-JP" sz="2000"/>
        </a:p>
        <a:p>
          <a:pPr algn="l"/>
          <a:r>
            <a:rPr kumimoji="1" lang="ja-JP" altLang="en-US" sz="2000"/>
            <a:t>背景は白</a:t>
          </a:r>
          <a:endParaRPr kumimoji="1" lang="en-US" altLang="ja-JP" sz="2000"/>
        </a:p>
        <a:p>
          <a:pPr algn="l"/>
          <a:r>
            <a:rPr kumimoji="1" lang="ja-JP" altLang="en-US" sz="2000"/>
            <a:t>文字は太文字にしない</a:t>
          </a:r>
          <a:endParaRPr kumimoji="1" lang="en-US" altLang="ja-JP" sz="2000"/>
        </a:p>
        <a:p>
          <a:pPr algn="l"/>
          <a:endParaRPr kumimoji="1" lang="en-US" altLang="ja-JP" sz="2000"/>
        </a:p>
        <a:p>
          <a:pPr algn="l"/>
          <a:r>
            <a:rPr kumimoji="1" lang="ja-JP" altLang="en-US" sz="2000"/>
            <a:t>翌々週のシートはなければ</a:t>
          </a:r>
          <a:r>
            <a:rPr kumimoji="1" lang="en-US" altLang="ja-JP" sz="2000"/>
            <a:t>00</a:t>
          </a:r>
          <a:r>
            <a:rPr kumimoji="1" lang="ja-JP" altLang="en-US" sz="2000"/>
            <a:t>シートをコピーしてシート名を対象月曜日の日付にする。</a:t>
          </a:r>
          <a:r>
            <a:rPr kumimoji="1" lang="en-US" altLang="ja-JP" sz="2000"/>
            <a:t>D1</a:t>
          </a:r>
          <a:r>
            <a:rPr kumimoji="1" lang="ja-JP" altLang="en-US" sz="2000"/>
            <a:t>の日付と対象月曜日の日付にする</a:t>
          </a:r>
          <a:endParaRPr kumimoji="1" lang="en-US" altLang="ja-JP" sz="2000"/>
        </a:p>
        <a:p>
          <a:pPr algn="l"/>
          <a:endParaRPr kumimoji="1" lang="ja-JP" altLang="en-US" sz="20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653143</xdr:colOff>
      <xdr:row>0</xdr:row>
      <xdr:rowOff>272143</xdr:rowOff>
    </xdr:from>
    <xdr:to>
      <xdr:col>24</xdr:col>
      <xdr:colOff>217714</xdr:colOff>
      <xdr:row>5</xdr:row>
      <xdr:rowOff>190500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D67B824-DE41-4665-A6A4-879F2A9CDBF7}"/>
            </a:ext>
          </a:extLst>
        </xdr:cNvPr>
        <xdr:cNvSpPr/>
      </xdr:nvSpPr>
      <xdr:spPr>
        <a:xfrm>
          <a:off x="20503243" y="272143"/>
          <a:ext cx="3679371" cy="1194707"/>
        </a:xfrm>
        <a:prstGeom prst="rect">
          <a:avLst/>
        </a:prstGeom>
        <a:solidFill>
          <a:schemeClr val="accent2">
            <a:lumMod val="20000"/>
            <a:lumOff val="80000"/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祝日</a:t>
          </a:r>
        </a:p>
      </xdr:txBody>
    </xdr:sp>
    <xdr:clientData/>
  </xdr:twoCellAnchor>
  <xdr:twoCellAnchor>
    <xdr:from>
      <xdr:col>19</xdr:col>
      <xdr:colOff>0</xdr:colOff>
      <xdr:row>8</xdr:row>
      <xdr:rowOff>0</xdr:rowOff>
    </xdr:from>
    <xdr:to>
      <xdr:col>24</xdr:col>
      <xdr:colOff>244928</xdr:colOff>
      <xdr:row>12</xdr:row>
      <xdr:rowOff>231321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A1A907F-FAE6-4895-B9FE-ECD82156E2BF}"/>
            </a:ext>
          </a:extLst>
        </xdr:cNvPr>
        <xdr:cNvSpPr/>
      </xdr:nvSpPr>
      <xdr:spPr>
        <a:xfrm>
          <a:off x="20535900" y="2000250"/>
          <a:ext cx="3673928" cy="1183821"/>
        </a:xfrm>
        <a:prstGeom prst="rect">
          <a:avLst/>
        </a:prstGeom>
        <a:solidFill>
          <a:srgbClr val="CCFFC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有給</a:t>
          </a:r>
        </a:p>
      </xdr:txBody>
    </xdr:sp>
    <xdr:clientData/>
  </xdr:twoCellAnchor>
  <xdr:twoCellAnchor>
    <xdr:from>
      <xdr:col>19</xdr:col>
      <xdr:colOff>40822</xdr:colOff>
      <xdr:row>13</xdr:row>
      <xdr:rowOff>176894</xdr:rowOff>
    </xdr:from>
    <xdr:to>
      <xdr:col>25</xdr:col>
      <xdr:colOff>217715</xdr:colOff>
      <xdr:row>27</xdr:row>
      <xdr:rowOff>40822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AC578D8-1B79-4C94-842C-3E8C2BFDF7CB}"/>
            </a:ext>
          </a:extLst>
        </xdr:cNvPr>
        <xdr:cNvSpPr/>
      </xdr:nvSpPr>
      <xdr:spPr>
        <a:xfrm>
          <a:off x="20576722" y="3377294"/>
          <a:ext cx="4291693" cy="323577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自身の予定を張り付け</a:t>
          </a:r>
          <a:endParaRPr kumimoji="1" lang="en-US" altLang="ja-JP" sz="2000"/>
        </a:p>
        <a:p>
          <a:pPr algn="l"/>
          <a:r>
            <a:rPr kumimoji="1" lang="ja-JP" altLang="en-US" sz="2000"/>
            <a:t>背景は白</a:t>
          </a:r>
          <a:endParaRPr kumimoji="1" lang="en-US" altLang="ja-JP" sz="2000"/>
        </a:p>
        <a:p>
          <a:pPr algn="l"/>
          <a:r>
            <a:rPr kumimoji="1" lang="ja-JP" altLang="en-US" sz="2000"/>
            <a:t>文字は太文字にしない</a:t>
          </a:r>
          <a:endParaRPr kumimoji="1" lang="en-US" altLang="ja-JP" sz="2000"/>
        </a:p>
        <a:p>
          <a:pPr algn="l"/>
          <a:endParaRPr kumimoji="1" lang="en-US" altLang="ja-JP" sz="2000"/>
        </a:p>
        <a:p>
          <a:pPr algn="l"/>
          <a:r>
            <a:rPr kumimoji="1" lang="ja-JP" altLang="en-US" sz="2000"/>
            <a:t>翌々週のシートはなければ</a:t>
          </a:r>
          <a:r>
            <a:rPr kumimoji="1" lang="en-US" altLang="ja-JP" sz="2000"/>
            <a:t>00</a:t>
          </a:r>
          <a:r>
            <a:rPr kumimoji="1" lang="ja-JP" altLang="en-US" sz="2000"/>
            <a:t>シートをコピーしてシート名を対象月曜日の日付にする。</a:t>
          </a:r>
          <a:r>
            <a:rPr kumimoji="1" lang="en-US" altLang="ja-JP" sz="2000"/>
            <a:t>D1</a:t>
          </a:r>
          <a:r>
            <a:rPr kumimoji="1" lang="ja-JP" altLang="en-US" sz="2000"/>
            <a:t>の日付と対象月曜日の日付にする</a:t>
          </a:r>
          <a:endParaRPr kumimoji="1" lang="en-US" altLang="ja-JP" sz="2000"/>
        </a:p>
        <a:p>
          <a:pPr algn="l"/>
          <a:endParaRPr kumimoji="1" lang="ja-JP" altLang="en-US" sz="2000"/>
        </a:p>
      </xdr:txBody>
    </xdr:sp>
    <xdr:clientData/>
  </xdr:twoCellAnchor>
  <xdr:twoCellAnchor>
    <xdr:from>
      <xdr:col>3</xdr:col>
      <xdr:colOff>31751</xdr:colOff>
      <xdr:row>3</xdr:row>
      <xdr:rowOff>31750</xdr:rowOff>
    </xdr:from>
    <xdr:to>
      <xdr:col>5</xdr:col>
      <xdr:colOff>1174751</xdr:colOff>
      <xdr:row>12</xdr:row>
      <xdr:rowOff>222250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945D751E-12F8-D3E8-5347-A81BB556E7AC}"/>
            </a:ext>
          </a:extLst>
        </xdr:cNvPr>
        <xdr:cNvSpPr/>
      </xdr:nvSpPr>
      <xdr:spPr>
        <a:xfrm>
          <a:off x="1587501" y="841375"/>
          <a:ext cx="3587750" cy="2349500"/>
        </a:xfrm>
        <a:prstGeom prst="rect">
          <a:avLst/>
        </a:prstGeom>
        <a:solidFill>
          <a:srgbClr val="CCFFC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有給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653143</xdr:colOff>
      <xdr:row>0</xdr:row>
      <xdr:rowOff>272143</xdr:rowOff>
    </xdr:from>
    <xdr:to>
      <xdr:col>24</xdr:col>
      <xdr:colOff>217714</xdr:colOff>
      <xdr:row>5</xdr:row>
      <xdr:rowOff>190500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CDE692B-B058-4CE4-BC47-B742233710C7}"/>
            </a:ext>
          </a:extLst>
        </xdr:cNvPr>
        <xdr:cNvSpPr/>
      </xdr:nvSpPr>
      <xdr:spPr>
        <a:xfrm>
          <a:off x="20503243" y="272143"/>
          <a:ext cx="3679371" cy="1194707"/>
        </a:xfrm>
        <a:prstGeom prst="rect">
          <a:avLst/>
        </a:prstGeom>
        <a:solidFill>
          <a:schemeClr val="accent2">
            <a:lumMod val="20000"/>
            <a:lumOff val="80000"/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祝日</a:t>
          </a:r>
        </a:p>
      </xdr:txBody>
    </xdr:sp>
    <xdr:clientData/>
  </xdr:twoCellAnchor>
  <xdr:twoCellAnchor>
    <xdr:from>
      <xdr:col>19</xdr:col>
      <xdr:colOff>0</xdr:colOff>
      <xdr:row>8</xdr:row>
      <xdr:rowOff>0</xdr:rowOff>
    </xdr:from>
    <xdr:to>
      <xdr:col>24</xdr:col>
      <xdr:colOff>244928</xdr:colOff>
      <xdr:row>12</xdr:row>
      <xdr:rowOff>231321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80A8D56-6ECA-416B-AA55-82D79F3759F7}"/>
            </a:ext>
          </a:extLst>
        </xdr:cNvPr>
        <xdr:cNvSpPr/>
      </xdr:nvSpPr>
      <xdr:spPr>
        <a:xfrm>
          <a:off x="20535900" y="2000250"/>
          <a:ext cx="3673928" cy="1183821"/>
        </a:xfrm>
        <a:prstGeom prst="rect">
          <a:avLst/>
        </a:prstGeom>
        <a:solidFill>
          <a:srgbClr val="CCFFC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有給</a:t>
          </a:r>
        </a:p>
      </xdr:txBody>
    </xdr:sp>
    <xdr:clientData/>
  </xdr:twoCellAnchor>
  <xdr:twoCellAnchor>
    <xdr:from>
      <xdr:col>19</xdr:col>
      <xdr:colOff>40822</xdr:colOff>
      <xdr:row>13</xdr:row>
      <xdr:rowOff>176894</xdr:rowOff>
    </xdr:from>
    <xdr:to>
      <xdr:col>25</xdr:col>
      <xdr:colOff>217715</xdr:colOff>
      <xdr:row>27</xdr:row>
      <xdr:rowOff>40822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C7FD97ED-B7AD-43C7-A819-6CFCD38B1A1E}"/>
            </a:ext>
          </a:extLst>
        </xdr:cNvPr>
        <xdr:cNvSpPr/>
      </xdr:nvSpPr>
      <xdr:spPr>
        <a:xfrm>
          <a:off x="20576722" y="3377294"/>
          <a:ext cx="4291693" cy="323577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自身の予定を張り付け</a:t>
          </a:r>
          <a:endParaRPr kumimoji="1" lang="en-US" altLang="ja-JP" sz="2000"/>
        </a:p>
        <a:p>
          <a:pPr algn="l"/>
          <a:r>
            <a:rPr kumimoji="1" lang="ja-JP" altLang="en-US" sz="2000"/>
            <a:t>背景は白</a:t>
          </a:r>
          <a:endParaRPr kumimoji="1" lang="en-US" altLang="ja-JP" sz="2000"/>
        </a:p>
        <a:p>
          <a:pPr algn="l"/>
          <a:r>
            <a:rPr kumimoji="1" lang="ja-JP" altLang="en-US" sz="2000"/>
            <a:t>文字は太文字にしない</a:t>
          </a:r>
          <a:endParaRPr kumimoji="1" lang="en-US" altLang="ja-JP" sz="2000"/>
        </a:p>
        <a:p>
          <a:pPr algn="l"/>
          <a:endParaRPr kumimoji="1" lang="en-US" altLang="ja-JP" sz="2000"/>
        </a:p>
        <a:p>
          <a:pPr algn="l"/>
          <a:r>
            <a:rPr kumimoji="1" lang="ja-JP" altLang="en-US" sz="2000"/>
            <a:t>翌々週のシートはなければ</a:t>
          </a:r>
          <a:r>
            <a:rPr kumimoji="1" lang="en-US" altLang="ja-JP" sz="2000"/>
            <a:t>00</a:t>
          </a:r>
          <a:r>
            <a:rPr kumimoji="1" lang="ja-JP" altLang="en-US" sz="2000"/>
            <a:t>シートをコピーしてシート名を対象月曜日の日付にする。</a:t>
          </a:r>
          <a:r>
            <a:rPr kumimoji="1" lang="en-US" altLang="ja-JP" sz="2000"/>
            <a:t>D1</a:t>
          </a:r>
          <a:r>
            <a:rPr kumimoji="1" lang="ja-JP" altLang="en-US" sz="2000"/>
            <a:t>の日付と対象月曜日の日付にする</a:t>
          </a:r>
          <a:endParaRPr kumimoji="1" lang="en-US" altLang="ja-JP" sz="2000"/>
        </a:p>
        <a:p>
          <a:pPr algn="l"/>
          <a:endParaRPr kumimoji="1" lang="ja-JP" altLang="en-US" sz="20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13607</xdr:colOff>
      <xdr:row>3</xdr:row>
      <xdr:rowOff>13608</xdr:rowOff>
    </xdr:from>
    <xdr:to>
      <xdr:col>5</xdr:col>
      <xdr:colOff>1211035</xdr:colOff>
      <xdr:row>24</xdr:row>
      <xdr:rowOff>231322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CBBA48C-DB41-4A1D-883A-E1B38A0BF659}"/>
            </a:ext>
          </a:extLst>
        </xdr:cNvPr>
        <xdr:cNvSpPr/>
      </xdr:nvSpPr>
      <xdr:spPr>
        <a:xfrm>
          <a:off x="1564821" y="816429"/>
          <a:ext cx="3646714" cy="5361214"/>
        </a:xfrm>
        <a:prstGeom prst="rect">
          <a:avLst/>
        </a:prstGeom>
        <a:solidFill>
          <a:schemeClr val="accent2">
            <a:lumMod val="20000"/>
            <a:lumOff val="80000"/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祝日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2</xdr:row>
      <xdr:rowOff>231322</xdr:rowOff>
    </xdr:from>
    <xdr:to>
      <xdr:col>8</xdr:col>
      <xdr:colOff>1197429</xdr:colOff>
      <xdr:row>35</xdr:row>
      <xdr:rowOff>231321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9D3907B1-68D6-4CD8-9A26-828A7FAB8A8E}"/>
            </a:ext>
          </a:extLst>
        </xdr:cNvPr>
        <xdr:cNvSpPr/>
      </xdr:nvSpPr>
      <xdr:spPr>
        <a:xfrm>
          <a:off x="5225144" y="789215"/>
          <a:ext cx="3646714" cy="8082642"/>
        </a:xfrm>
        <a:prstGeom prst="rect">
          <a:avLst/>
        </a:prstGeom>
        <a:solidFill>
          <a:schemeClr val="accent2">
            <a:lumMod val="20000"/>
            <a:lumOff val="80000"/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</a:rPr>
            <a:t>祝日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123265</xdr:colOff>
      <xdr:row>12</xdr:row>
      <xdr:rowOff>179294</xdr:rowOff>
    </xdr:from>
    <xdr:to>
      <xdr:col>23</xdr:col>
      <xdr:colOff>347382</xdr:colOff>
      <xdr:row>17</xdr:row>
      <xdr:rowOff>168088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630DD74-3981-4C8D-8FF9-5F71E960FA47}"/>
            </a:ext>
          </a:extLst>
        </xdr:cNvPr>
        <xdr:cNvSpPr/>
      </xdr:nvSpPr>
      <xdr:spPr>
        <a:xfrm>
          <a:off x="19973365" y="3132044"/>
          <a:ext cx="3653117" cy="1198469"/>
        </a:xfrm>
        <a:prstGeom prst="rect">
          <a:avLst/>
        </a:prstGeom>
        <a:solidFill>
          <a:schemeClr val="accent2">
            <a:lumMod val="20000"/>
            <a:lumOff val="80000"/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 b="1">
              <a:solidFill>
                <a:srgbClr val="FF0000"/>
              </a:solidFill>
            </a:rPr>
            <a:t>半休　</a:t>
          </a:r>
          <a:r>
            <a:rPr kumimoji="1" lang="en-US" altLang="ja-JP" sz="2000" b="1">
              <a:solidFill>
                <a:srgbClr val="FF0000"/>
              </a:solidFill>
            </a:rPr>
            <a:t>(1/18</a:t>
          </a:r>
          <a:r>
            <a:rPr kumimoji="1" lang="ja-JP" altLang="en-US" sz="2000" b="1">
              <a:solidFill>
                <a:srgbClr val="FF0000"/>
              </a:solidFill>
            </a:rPr>
            <a:t>代休</a:t>
          </a:r>
          <a:r>
            <a:rPr kumimoji="1" lang="en-US" altLang="ja-JP" sz="2000" b="1">
              <a:solidFill>
                <a:srgbClr val="FF0000"/>
              </a:solidFill>
            </a:rPr>
            <a:t>)</a:t>
          </a:r>
          <a:endParaRPr kumimoji="1" lang="ja-JP" altLang="en-US" sz="2000" b="1">
            <a:solidFill>
              <a:srgbClr val="FF0000"/>
            </a:solidFill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123265</xdr:colOff>
      <xdr:row>12</xdr:row>
      <xdr:rowOff>179294</xdr:rowOff>
    </xdr:from>
    <xdr:to>
      <xdr:col>23</xdr:col>
      <xdr:colOff>347382</xdr:colOff>
      <xdr:row>17</xdr:row>
      <xdr:rowOff>168088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063DC12-4C3A-4744-8E87-56EDD78539AB}"/>
            </a:ext>
          </a:extLst>
        </xdr:cNvPr>
        <xdr:cNvSpPr/>
      </xdr:nvSpPr>
      <xdr:spPr>
        <a:xfrm>
          <a:off x="20002500" y="3104029"/>
          <a:ext cx="3641911" cy="1187824"/>
        </a:xfrm>
        <a:prstGeom prst="rect">
          <a:avLst/>
        </a:prstGeom>
        <a:solidFill>
          <a:schemeClr val="accent2">
            <a:lumMod val="20000"/>
            <a:lumOff val="80000"/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 b="1">
              <a:solidFill>
                <a:srgbClr val="FF0000"/>
              </a:solidFill>
            </a:rPr>
            <a:t>半休　</a:t>
          </a:r>
          <a:r>
            <a:rPr kumimoji="1" lang="en-US" altLang="ja-JP" sz="2000" b="1">
              <a:solidFill>
                <a:srgbClr val="FF0000"/>
              </a:solidFill>
            </a:rPr>
            <a:t>(1/18</a:t>
          </a:r>
          <a:r>
            <a:rPr kumimoji="1" lang="ja-JP" altLang="en-US" sz="2000" b="1">
              <a:solidFill>
                <a:srgbClr val="FF0000"/>
              </a:solidFill>
            </a:rPr>
            <a:t>代休</a:t>
          </a:r>
          <a:r>
            <a:rPr kumimoji="1" lang="en-US" altLang="ja-JP" sz="2000" b="1">
              <a:solidFill>
                <a:srgbClr val="FF0000"/>
              </a:solidFill>
            </a:rPr>
            <a:t>)</a:t>
          </a:r>
          <a:endParaRPr kumimoji="1" lang="ja-JP" altLang="en-US" sz="2000" b="1">
            <a:solidFill>
              <a:srgbClr val="FF0000"/>
            </a:solidFill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1210235</xdr:colOff>
      <xdr:row>7</xdr:row>
      <xdr:rowOff>235323</xdr:rowOff>
    </xdr:from>
    <xdr:to>
      <xdr:col>17</xdr:col>
      <xdr:colOff>1187823</xdr:colOff>
      <xdr:row>12</xdr:row>
      <xdr:rowOff>235324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AD04216-3D35-44B4-A787-AD700871354B}"/>
            </a:ext>
          </a:extLst>
        </xdr:cNvPr>
        <xdr:cNvSpPr/>
      </xdr:nvSpPr>
      <xdr:spPr>
        <a:xfrm>
          <a:off x="16203706" y="1972235"/>
          <a:ext cx="3641911" cy="1187824"/>
        </a:xfrm>
        <a:prstGeom prst="rect">
          <a:avLst/>
        </a:prstGeom>
        <a:solidFill>
          <a:schemeClr val="accent2">
            <a:lumMod val="20000"/>
            <a:lumOff val="80000"/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 b="1">
              <a:solidFill>
                <a:srgbClr val="FF0000"/>
              </a:solidFill>
            </a:rPr>
            <a:t>半休　</a:t>
          </a:r>
          <a:r>
            <a:rPr kumimoji="1" lang="en-US" altLang="ja-JP" sz="2000" b="1">
              <a:solidFill>
                <a:srgbClr val="FF0000"/>
              </a:solidFill>
            </a:rPr>
            <a:t>(1/18</a:t>
          </a:r>
          <a:r>
            <a:rPr kumimoji="1" lang="ja-JP" altLang="en-US" sz="2000" b="1">
              <a:solidFill>
                <a:srgbClr val="FF0000"/>
              </a:solidFill>
            </a:rPr>
            <a:t>代休</a:t>
          </a:r>
          <a:r>
            <a:rPr kumimoji="1" lang="en-US" altLang="ja-JP" sz="2000" b="1">
              <a:solidFill>
                <a:srgbClr val="FF0000"/>
              </a:solidFill>
            </a:rPr>
            <a:t>)1</a:t>
          </a:r>
          <a:endParaRPr kumimoji="1" lang="ja-JP" altLang="en-US" sz="2000" b="1">
            <a:solidFill>
              <a:srgbClr val="FF0000"/>
            </a:solidFill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44824</xdr:colOff>
      <xdr:row>3</xdr:row>
      <xdr:rowOff>33617</xdr:rowOff>
    </xdr:from>
    <xdr:to>
      <xdr:col>6</xdr:col>
      <xdr:colOff>22412</xdr:colOff>
      <xdr:row>35</xdr:row>
      <xdr:rowOff>201706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1170FF9-228B-4236-A761-7CD09BF85921}"/>
            </a:ext>
          </a:extLst>
        </xdr:cNvPr>
        <xdr:cNvSpPr/>
      </xdr:nvSpPr>
      <xdr:spPr>
        <a:xfrm>
          <a:off x="1602442" y="829235"/>
          <a:ext cx="3641911" cy="7788089"/>
        </a:xfrm>
        <a:prstGeom prst="rect">
          <a:avLst/>
        </a:prstGeom>
        <a:solidFill>
          <a:schemeClr val="accent2">
            <a:lumMod val="20000"/>
            <a:lumOff val="80000"/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 b="1">
              <a:solidFill>
                <a:srgbClr val="FF0000"/>
              </a:solidFill>
            </a:rPr>
            <a:t>祝日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14</xdr:row>
      <xdr:rowOff>22412</xdr:rowOff>
    </xdr:from>
    <xdr:to>
      <xdr:col>17</xdr:col>
      <xdr:colOff>1199029</xdr:colOff>
      <xdr:row>18</xdr:row>
      <xdr:rowOff>212912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CC431D8-5B92-4752-84F1-6B226F9C2A3E}"/>
            </a:ext>
          </a:extLst>
        </xdr:cNvPr>
        <xdr:cNvSpPr/>
      </xdr:nvSpPr>
      <xdr:spPr>
        <a:xfrm>
          <a:off x="16214912" y="3440206"/>
          <a:ext cx="3641911" cy="1131794"/>
        </a:xfrm>
        <a:prstGeom prst="rect">
          <a:avLst/>
        </a:prstGeom>
        <a:solidFill>
          <a:schemeClr val="accent2">
            <a:lumMod val="20000"/>
            <a:lumOff val="80000"/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 b="1">
              <a:solidFill>
                <a:srgbClr val="FF0000"/>
              </a:solidFill>
            </a:rPr>
            <a:t>半日有休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13607</xdr:colOff>
      <xdr:row>36</xdr:row>
      <xdr:rowOff>22412</xdr:rowOff>
    </xdr:from>
    <xdr:to>
      <xdr:col>17</xdr:col>
      <xdr:colOff>1144680</xdr:colOff>
      <xdr:row>45</xdr:row>
      <xdr:rowOff>203386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FF8CA8B-5E0D-49BC-9C5E-2B3115238FD2}"/>
            </a:ext>
          </a:extLst>
        </xdr:cNvPr>
        <xdr:cNvSpPr/>
      </xdr:nvSpPr>
      <xdr:spPr>
        <a:xfrm>
          <a:off x="1564821" y="8907876"/>
          <a:ext cx="18276073" cy="2385331"/>
        </a:xfrm>
        <a:prstGeom prst="rect">
          <a:avLst/>
        </a:prstGeom>
        <a:solidFill>
          <a:schemeClr val="accent1"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 b="1">
              <a:solidFill>
                <a:srgbClr val="FF0000"/>
              </a:solidFill>
            </a:rPr>
            <a:t>建築業務対応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43143</xdr:colOff>
      <xdr:row>25</xdr:row>
      <xdr:rowOff>38100</xdr:rowOff>
    </xdr:from>
    <xdr:to>
      <xdr:col>17</xdr:col>
      <xdr:colOff>1165412</xdr:colOff>
      <xdr:row>34</xdr:row>
      <xdr:rowOff>219075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21A4E62-F856-4C14-8BE5-750B2D44E13A}"/>
            </a:ext>
          </a:extLst>
        </xdr:cNvPr>
        <xdr:cNvSpPr/>
      </xdr:nvSpPr>
      <xdr:spPr>
        <a:xfrm>
          <a:off x="5265084" y="6078071"/>
          <a:ext cx="14558122" cy="2310092"/>
        </a:xfrm>
        <a:prstGeom prst="rect">
          <a:avLst/>
        </a:prstGeom>
        <a:solidFill>
          <a:schemeClr val="accent1"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 b="1">
              <a:solidFill>
                <a:srgbClr val="FF0000"/>
              </a:solidFill>
            </a:rPr>
            <a:t>入院のため　</a:t>
          </a:r>
          <a:endParaRPr kumimoji="1" lang="en-US" altLang="ja-JP" sz="2800" b="1">
            <a:solidFill>
              <a:srgbClr val="FF0000"/>
            </a:solidFill>
          </a:endParaRPr>
        </a:p>
        <a:p>
          <a:pPr algn="ctr"/>
          <a:r>
            <a:rPr kumimoji="1" lang="ja-JP" altLang="en-US" sz="2800" b="1">
              <a:solidFill>
                <a:srgbClr val="FF0000"/>
              </a:solidFill>
            </a:rPr>
            <a:t>休み予定</a:t>
          </a:r>
        </a:p>
      </xdr:txBody>
    </xdr:sp>
    <xdr:clientData/>
  </xdr:twoCellAnchor>
  <xdr:twoCellAnchor>
    <xdr:from>
      <xdr:col>3</xdr:col>
      <xdr:colOff>33617</xdr:colOff>
      <xdr:row>3</xdr:row>
      <xdr:rowOff>44822</xdr:rowOff>
    </xdr:from>
    <xdr:to>
      <xdr:col>5</xdr:col>
      <xdr:colOff>1176618</xdr:colOff>
      <xdr:row>46</xdr:row>
      <xdr:rowOff>179293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151492E-FF50-4EC3-B76A-CD7CC05DAEC5}"/>
            </a:ext>
          </a:extLst>
        </xdr:cNvPr>
        <xdr:cNvSpPr/>
      </xdr:nvSpPr>
      <xdr:spPr>
        <a:xfrm>
          <a:off x="1591235" y="840440"/>
          <a:ext cx="3585883" cy="10376647"/>
        </a:xfrm>
        <a:prstGeom prst="rect">
          <a:avLst/>
        </a:prstGeom>
        <a:solidFill>
          <a:schemeClr val="accent2">
            <a:lumMod val="20000"/>
            <a:lumOff val="80000"/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 b="1">
              <a:solidFill>
                <a:srgbClr val="FF0000"/>
              </a:solidFill>
            </a:rPr>
            <a:t>祝日</a:t>
          </a:r>
        </a:p>
      </xdr:txBody>
    </xdr:sp>
    <xdr:clientData/>
  </xdr:twoCellAnchor>
  <xdr:twoCellAnchor>
    <xdr:from>
      <xdr:col>6</xdr:col>
      <xdr:colOff>22411</xdr:colOff>
      <xdr:row>36</xdr:row>
      <xdr:rowOff>22412</xdr:rowOff>
    </xdr:from>
    <xdr:to>
      <xdr:col>17</xdr:col>
      <xdr:colOff>1144680</xdr:colOff>
      <xdr:row>45</xdr:row>
      <xdr:rowOff>203386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42BD5162-FE7A-461F-85AD-3E742BC68D4A}"/>
            </a:ext>
          </a:extLst>
        </xdr:cNvPr>
        <xdr:cNvSpPr/>
      </xdr:nvSpPr>
      <xdr:spPr>
        <a:xfrm>
          <a:off x="5244352" y="8684559"/>
          <a:ext cx="14558122" cy="2310092"/>
        </a:xfrm>
        <a:prstGeom prst="rect">
          <a:avLst/>
        </a:prstGeom>
        <a:solidFill>
          <a:schemeClr val="accent1">
            <a:alpha val="3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 b="1">
              <a:solidFill>
                <a:srgbClr val="FF0000"/>
              </a:solidFill>
            </a:rPr>
            <a:t>建築業務対応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2D61-673F-4D6B-A504-6D06FCBA99F6}">
  <dimension ref="B1:S77"/>
  <sheetViews>
    <sheetView tabSelected="1" view="pageBreakPreview" zoomScale="70" zoomScaleNormal="70" zoomScaleSheetLayoutView="70" workbookViewId="0">
      <selection activeCell="I18" sqref="I18"/>
    </sheetView>
  </sheetViews>
  <sheetFormatPr defaultRowHeight="18.75"/>
  <cols>
    <col min="1" max="1" width="2.5" customWidth="1"/>
    <col min="4" max="18" width="16" customWidth="1"/>
  </cols>
  <sheetData>
    <row r="1" spans="2:19" ht="24.75" thickBot="1">
      <c r="D1" s="53">
        <v>46104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19" s="5" customFormat="1">
      <c r="B2" s="201"/>
      <c r="C2" s="202"/>
      <c r="D2" s="205">
        <f>D1</f>
        <v>46104</v>
      </c>
      <c r="E2" s="195" t="s">
        <v>3</v>
      </c>
      <c r="F2" s="191" t="s">
        <v>4</v>
      </c>
      <c r="G2" s="197">
        <f>D2+1</f>
        <v>46105</v>
      </c>
      <c r="H2" s="195" t="s">
        <v>5</v>
      </c>
      <c r="I2" s="191" t="s">
        <v>4</v>
      </c>
      <c r="J2" s="197">
        <f>G2+1</f>
        <v>46106</v>
      </c>
      <c r="K2" s="195" t="s">
        <v>6</v>
      </c>
      <c r="L2" s="191" t="s">
        <v>4</v>
      </c>
      <c r="M2" s="197">
        <f>J2+1</f>
        <v>46107</v>
      </c>
      <c r="N2" s="195" t="s">
        <v>7</v>
      </c>
      <c r="O2" s="191" t="s">
        <v>4</v>
      </c>
      <c r="P2" s="197">
        <f>M2+1</f>
        <v>46108</v>
      </c>
      <c r="Q2" s="195" t="s">
        <v>8</v>
      </c>
      <c r="R2" s="191" t="s">
        <v>4</v>
      </c>
    </row>
    <row r="3" spans="2:19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19" ht="18.75" customHeight="1">
      <c r="B4" s="149" t="s">
        <v>32</v>
      </c>
      <c r="C4" s="138" t="s">
        <v>9</v>
      </c>
      <c r="D4" s="193" t="s">
        <v>928</v>
      </c>
      <c r="E4" s="194"/>
      <c r="F4" s="75">
        <v>0.5</v>
      </c>
      <c r="G4" s="193" t="s">
        <v>928</v>
      </c>
      <c r="H4" s="194"/>
      <c r="I4" s="75">
        <v>0.5</v>
      </c>
      <c r="J4" s="193" t="s">
        <v>928</v>
      </c>
      <c r="K4" s="194"/>
      <c r="L4" s="75">
        <v>0.5</v>
      </c>
      <c r="M4" s="193" t="s">
        <v>928</v>
      </c>
      <c r="N4" s="194"/>
      <c r="O4" s="75"/>
      <c r="P4" s="193" t="s">
        <v>928</v>
      </c>
      <c r="Q4" s="194"/>
      <c r="R4" s="75">
        <v>0.5</v>
      </c>
      <c r="S4" s="95"/>
    </row>
    <row r="5" spans="2:19">
      <c r="B5" s="150"/>
      <c r="C5" s="139"/>
      <c r="D5" s="183" t="s">
        <v>950</v>
      </c>
      <c r="E5" s="184"/>
      <c r="F5" s="32">
        <v>1</v>
      </c>
      <c r="G5" s="183" t="s">
        <v>950</v>
      </c>
      <c r="H5" s="184"/>
      <c r="I5" s="32">
        <v>1</v>
      </c>
      <c r="J5" s="183" t="s">
        <v>950</v>
      </c>
      <c r="K5" s="184"/>
      <c r="L5" s="32">
        <v>1</v>
      </c>
      <c r="M5" s="183" t="s">
        <v>950</v>
      </c>
      <c r="N5" s="184"/>
      <c r="O5" s="32"/>
      <c r="P5" s="183" t="s">
        <v>950</v>
      </c>
      <c r="Q5" s="184"/>
      <c r="R5" s="111">
        <v>0.5</v>
      </c>
      <c r="S5" s="95"/>
    </row>
    <row r="6" spans="2:19">
      <c r="B6" s="150"/>
      <c r="C6" s="139"/>
      <c r="D6" s="147" t="s">
        <v>1051</v>
      </c>
      <c r="E6" s="148"/>
      <c r="F6" s="111">
        <v>1</v>
      </c>
      <c r="G6" s="147" t="s">
        <v>1051</v>
      </c>
      <c r="H6" s="148"/>
      <c r="I6" s="111">
        <v>1.5</v>
      </c>
      <c r="J6" s="147" t="s">
        <v>1051</v>
      </c>
      <c r="K6" s="148"/>
      <c r="L6" s="111">
        <v>1.5</v>
      </c>
      <c r="M6" s="185" t="s">
        <v>750</v>
      </c>
      <c r="N6" s="186"/>
      <c r="O6" s="32"/>
      <c r="P6" s="147"/>
      <c r="Q6" s="148"/>
      <c r="R6" s="111"/>
      <c r="S6" s="95"/>
    </row>
    <row r="7" spans="2:19">
      <c r="B7" s="150"/>
      <c r="C7" s="139"/>
      <c r="D7" s="187"/>
      <c r="E7" s="182"/>
      <c r="F7" s="111"/>
      <c r="G7" s="187"/>
      <c r="H7" s="182"/>
      <c r="I7" s="111"/>
      <c r="J7" s="187"/>
      <c r="K7" s="182"/>
      <c r="L7" s="111"/>
      <c r="M7" s="187"/>
      <c r="N7" s="182"/>
      <c r="O7" s="111"/>
      <c r="P7" s="188"/>
      <c r="Q7" s="148"/>
      <c r="R7" s="111"/>
      <c r="S7" s="8"/>
    </row>
    <row r="8" spans="2:19" ht="19.5" thickBot="1">
      <c r="B8" s="150"/>
      <c r="C8" s="140"/>
      <c r="D8" s="189" t="s">
        <v>957</v>
      </c>
      <c r="E8" s="190"/>
      <c r="F8" s="120">
        <v>0.5</v>
      </c>
      <c r="G8" s="189"/>
      <c r="H8" s="190"/>
      <c r="I8" s="120"/>
      <c r="J8" s="189" t="s">
        <v>957</v>
      </c>
      <c r="K8" s="190"/>
      <c r="L8" s="120"/>
      <c r="M8" s="189" t="s">
        <v>937</v>
      </c>
      <c r="N8" s="190"/>
      <c r="O8" s="120"/>
      <c r="P8" s="189" t="s">
        <v>959</v>
      </c>
      <c r="Q8" s="190"/>
      <c r="R8" s="120">
        <v>2</v>
      </c>
      <c r="S8" s="96"/>
    </row>
    <row r="9" spans="2:19" ht="18.75" customHeight="1">
      <c r="B9" s="150"/>
      <c r="C9" s="138" t="s">
        <v>20</v>
      </c>
      <c r="D9" s="147" t="s">
        <v>1052</v>
      </c>
      <c r="E9" s="148"/>
      <c r="F9" s="111">
        <v>3.25</v>
      </c>
      <c r="G9" s="181" t="s">
        <v>1053</v>
      </c>
      <c r="H9" s="182"/>
      <c r="I9" s="111">
        <v>1.25</v>
      </c>
      <c r="J9" s="147" t="s">
        <v>1053</v>
      </c>
      <c r="K9" s="148"/>
      <c r="L9" s="111">
        <v>3.25</v>
      </c>
      <c r="M9" s="147" t="s">
        <v>1053</v>
      </c>
      <c r="N9" s="148"/>
      <c r="O9" s="111"/>
      <c r="P9" s="147" t="s">
        <v>1053</v>
      </c>
      <c r="Q9" s="148"/>
      <c r="R9" s="111">
        <v>3.25</v>
      </c>
      <c r="S9" s="11"/>
    </row>
    <row r="10" spans="2:19" ht="18.75" customHeight="1">
      <c r="B10" s="150"/>
      <c r="C10" s="139"/>
      <c r="D10" s="147"/>
      <c r="E10" s="148"/>
      <c r="F10" s="111"/>
      <c r="G10" s="147" t="s">
        <v>1054</v>
      </c>
      <c r="H10" s="148"/>
      <c r="I10" s="111">
        <v>2</v>
      </c>
      <c r="J10" s="147"/>
      <c r="K10" s="148"/>
      <c r="L10" s="111"/>
      <c r="M10" s="147"/>
      <c r="N10" s="148"/>
      <c r="O10" s="111"/>
      <c r="P10" s="147"/>
      <c r="Q10" s="148"/>
      <c r="R10" s="111"/>
      <c r="S10" s="11"/>
    </row>
    <row r="11" spans="2:19" ht="18.75" customHeight="1">
      <c r="B11" s="150"/>
      <c r="C11" s="139"/>
      <c r="D11" s="147"/>
      <c r="E11" s="148"/>
      <c r="F11" s="111"/>
      <c r="G11" s="147"/>
      <c r="H11" s="148"/>
      <c r="I11" s="111"/>
      <c r="J11" s="147"/>
      <c r="K11" s="148"/>
      <c r="L11" s="111"/>
      <c r="M11" s="147"/>
      <c r="N11" s="148"/>
      <c r="O11" s="111"/>
      <c r="P11" s="147"/>
      <c r="Q11" s="148"/>
      <c r="R11" s="111"/>
      <c r="S11" s="96"/>
    </row>
    <row r="12" spans="2:19" ht="18.75" customHeight="1">
      <c r="B12" s="150"/>
      <c r="C12" s="139"/>
      <c r="D12" s="183" t="s">
        <v>848</v>
      </c>
      <c r="E12" s="184"/>
      <c r="F12" s="111">
        <v>0.5</v>
      </c>
      <c r="G12" s="183" t="s">
        <v>848</v>
      </c>
      <c r="H12" s="184"/>
      <c r="I12" s="111">
        <v>0.5</v>
      </c>
      <c r="J12" s="183" t="s">
        <v>848</v>
      </c>
      <c r="K12" s="184"/>
      <c r="L12" s="111">
        <v>0.5</v>
      </c>
      <c r="M12" s="185" t="s">
        <v>848</v>
      </c>
      <c r="N12" s="186"/>
      <c r="O12" s="111"/>
      <c r="P12" s="183" t="s">
        <v>848</v>
      </c>
      <c r="Q12" s="184"/>
      <c r="R12" s="111">
        <v>0.5</v>
      </c>
      <c r="S12" s="96"/>
    </row>
    <row r="13" spans="2:19" ht="19.5" customHeight="1" thickBot="1">
      <c r="B13" s="150"/>
      <c r="C13" s="140"/>
      <c r="D13" s="178" t="s">
        <v>948</v>
      </c>
      <c r="E13" s="179"/>
      <c r="F13" s="59">
        <v>1</v>
      </c>
      <c r="G13" s="178" t="s">
        <v>949</v>
      </c>
      <c r="H13" s="179"/>
      <c r="I13" s="59">
        <v>1</v>
      </c>
      <c r="J13" s="178" t="s">
        <v>949</v>
      </c>
      <c r="K13" s="179"/>
      <c r="L13" s="59">
        <v>1</v>
      </c>
      <c r="M13" s="178" t="s">
        <v>949</v>
      </c>
      <c r="N13" s="179"/>
      <c r="O13" s="59"/>
      <c r="P13" s="178" t="s">
        <v>949</v>
      </c>
      <c r="Q13" s="179"/>
      <c r="R13" s="59">
        <v>1</v>
      </c>
    </row>
    <row r="14" spans="2:19" ht="19.5" thickBot="1">
      <c r="B14" s="151"/>
      <c r="C14" s="18" t="s">
        <v>76</v>
      </c>
      <c r="D14" s="132"/>
      <c r="E14" s="132"/>
      <c r="F14" s="127">
        <f>SUM(F4:F13)</f>
        <v>7.75</v>
      </c>
      <c r="G14" s="132"/>
      <c r="H14" s="132"/>
      <c r="I14" s="127">
        <f>SUM(I4:I13)</f>
        <v>7.75</v>
      </c>
      <c r="J14" s="132"/>
      <c r="K14" s="132"/>
      <c r="L14" s="127">
        <f>SUM(L4:L13)</f>
        <v>7.75</v>
      </c>
      <c r="M14" s="132"/>
      <c r="N14" s="132"/>
      <c r="O14" s="127">
        <f>SUM(O4:O13)</f>
        <v>0</v>
      </c>
      <c r="P14" s="132"/>
      <c r="Q14" s="132"/>
      <c r="R14" s="127">
        <f>SUM(R4:R13)</f>
        <v>7.75</v>
      </c>
    </row>
    <row r="15" spans="2:19" ht="18.75" customHeight="1">
      <c r="B15" s="149" t="s">
        <v>65</v>
      </c>
      <c r="C15" s="138" t="s">
        <v>9</v>
      </c>
      <c r="D15" s="143" t="s">
        <v>953</v>
      </c>
      <c r="E15" s="144"/>
      <c r="F15" s="128">
        <v>0.5</v>
      </c>
      <c r="G15" s="166" t="s">
        <v>962</v>
      </c>
      <c r="H15" s="142"/>
      <c r="I15" s="128">
        <v>2.25</v>
      </c>
      <c r="J15" s="177" t="s">
        <v>671</v>
      </c>
      <c r="K15" s="136"/>
      <c r="L15" s="128">
        <v>0.5</v>
      </c>
      <c r="M15" s="177" t="s">
        <v>1014</v>
      </c>
      <c r="N15" s="136"/>
      <c r="O15" s="128">
        <v>0.75</v>
      </c>
      <c r="P15" s="180" t="s">
        <v>671</v>
      </c>
      <c r="Q15" s="144"/>
      <c r="R15" s="128">
        <v>0.25</v>
      </c>
    </row>
    <row r="16" spans="2:19" ht="18.75" customHeight="1">
      <c r="B16" s="150"/>
      <c r="C16" s="139"/>
      <c r="D16" s="135" t="s">
        <v>997</v>
      </c>
      <c r="E16" s="136"/>
      <c r="F16" s="129">
        <v>1.5</v>
      </c>
      <c r="G16" s="177"/>
      <c r="H16" s="136"/>
      <c r="I16" s="129"/>
      <c r="J16" s="177" t="s">
        <v>997</v>
      </c>
      <c r="K16" s="136"/>
      <c r="L16" s="129">
        <v>1</v>
      </c>
      <c r="M16" s="177" t="s">
        <v>997</v>
      </c>
      <c r="N16" s="136"/>
      <c r="O16" s="129">
        <v>1</v>
      </c>
      <c r="P16" s="177" t="s">
        <v>997</v>
      </c>
      <c r="Q16" s="136"/>
      <c r="R16" s="129">
        <v>0.5</v>
      </c>
    </row>
    <row r="17" spans="2:18" ht="18.75" customHeight="1">
      <c r="B17" s="150"/>
      <c r="C17" s="139"/>
      <c r="D17" s="135" t="s">
        <v>1016</v>
      </c>
      <c r="E17" s="136"/>
      <c r="F17" s="129">
        <v>2</v>
      </c>
      <c r="G17" s="166"/>
      <c r="H17" s="142"/>
      <c r="I17" s="129"/>
      <c r="J17" s="177" t="s">
        <v>1040</v>
      </c>
      <c r="K17" s="136"/>
      <c r="L17" s="129">
        <v>1</v>
      </c>
      <c r="M17" s="177" t="s">
        <v>1016</v>
      </c>
      <c r="N17" s="136"/>
      <c r="O17" s="129">
        <v>1</v>
      </c>
      <c r="P17" s="177" t="s">
        <v>965</v>
      </c>
      <c r="Q17" s="136"/>
      <c r="R17" s="129">
        <v>2</v>
      </c>
    </row>
    <row r="18" spans="2:18" ht="18.75" customHeight="1">
      <c r="B18" s="150"/>
      <c r="C18" s="139"/>
      <c r="D18" s="141" t="s">
        <v>1041</v>
      </c>
      <c r="E18" s="142"/>
      <c r="F18" s="129">
        <v>0.75</v>
      </c>
      <c r="G18" s="177"/>
      <c r="H18" s="136"/>
      <c r="I18" s="130"/>
      <c r="J18" s="177"/>
      <c r="K18" s="136"/>
      <c r="L18" s="130"/>
      <c r="M18" s="177" t="s">
        <v>1042</v>
      </c>
      <c r="N18" s="136"/>
      <c r="O18" s="130">
        <v>1</v>
      </c>
      <c r="P18" s="177"/>
      <c r="Q18" s="136"/>
      <c r="R18" s="130"/>
    </row>
    <row r="19" spans="2:18" ht="19.5" customHeight="1" thickBot="1">
      <c r="B19" s="150"/>
      <c r="C19" s="140"/>
      <c r="D19" s="145"/>
      <c r="E19" s="146"/>
      <c r="F19" s="131"/>
      <c r="G19" s="176"/>
      <c r="H19" s="146"/>
      <c r="I19" s="131"/>
      <c r="J19" s="176" t="s">
        <v>963</v>
      </c>
      <c r="K19" s="146"/>
      <c r="L19" s="131">
        <v>0.5</v>
      </c>
      <c r="M19" s="176"/>
      <c r="N19" s="146"/>
      <c r="O19" s="131"/>
      <c r="P19" s="176"/>
      <c r="Q19" s="146"/>
      <c r="R19" s="131"/>
    </row>
    <row r="20" spans="2:18" ht="18.75" customHeight="1">
      <c r="B20" s="150"/>
      <c r="C20" s="138" t="s">
        <v>20</v>
      </c>
      <c r="D20" s="143" t="s">
        <v>1044</v>
      </c>
      <c r="E20" s="144"/>
      <c r="F20" s="128">
        <v>0.75</v>
      </c>
      <c r="G20" s="177" t="s">
        <v>962</v>
      </c>
      <c r="H20" s="136"/>
      <c r="I20" s="129">
        <v>3.5</v>
      </c>
      <c r="J20" s="177" t="s">
        <v>1021</v>
      </c>
      <c r="K20" s="136"/>
      <c r="L20" s="129">
        <v>2.75</v>
      </c>
      <c r="M20" s="177" t="s">
        <v>1043</v>
      </c>
      <c r="N20" s="136"/>
      <c r="O20" s="129">
        <v>2</v>
      </c>
      <c r="P20" s="177"/>
      <c r="Q20" s="136"/>
      <c r="R20" s="129"/>
    </row>
    <row r="21" spans="2:18" ht="18.75" customHeight="1">
      <c r="B21" s="150"/>
      <c r="C21" s="139"/>
      <c r="D21" s="135" t="s">
        <v>966</v>
      </c>
      <c r="E21" s="136"/>
      <c r="F21" s="129">
        <v>1</v>
      </c>
      <c r="G21" s="166" t="s">
        <v>966</v>
      </c>
      <c r="H21" s="142"/>
      <c r="I21" s="129">
        <v>0.75</v>
      </c>
      <c r="J21" s="177" t="s">
        <v>966</v>
      </c>
      <c r="K21" s="136"/>
      <c r="L21" s="129">
        <v>0.75</v>
      </c>
      <c r="M21" s="177" t="s">
        <v>966</v>
      </c>
      <c r="N21" s="136"/>
      <c r="O21" s="129">
        <v>0.75</v>
      </c>
      <c r="P21" s="177" t="s">
        <v>1001</v>
      </c>
      <c r="Q21" s="136"/>
      <c r="R21" s="129">
        <v>3.75</v>
      </c>
    </row>
    <row r="22" spans="2:18" ht="18.75" customHeight="1">
      <c r="B22" s="150"/>
      <c r="C22" s="139"/>
      <c r="D22" s="135" t="s">
        <v>1023</v>
      </c>
      <c r="E22" s="136"/>
      <c r="F22" s="129">
        <v>0.5</v>
      </c>
      <c r="G22" s="166" t="s">
        <v>1023</v>
      </c>
      <c r="H22" s="142"/>
      <c r="I22" s="129">
        <v>0.5</v>
      </c>
      <c r="J22" s="177" t="s">
        <v>1023</v>
      </c>
      <c r="K22" s="136"/>
      <c r="L22" s="129">
        <v>0.5</v>
      </c>
      <c r="M22" s="177" t="s">
        <v>1023</v>
      </c>
      <c r="N22" s="136"/>
      <c r="O22" s="129">
        <v>0.5</v>
      </c>
      <c r="P22" s="177" t="s">
        <v>1023</v>
      </c>
      <c r="Q22" s="136"/>
      <c r="R22" s="129">
        <v>0.5</v>
      </c>
    </row>
    <row r="23" spans="2:18" ht="18.75" customHeight="1">
      <c r="B23" s="150"/>
      <c r="C23" s="139"/>
      <c r="D23" s="135" t="s">
        <v>954</v>
      </c>
      <c r="E23" s="136"/>
      <c r="F23" s="129">
        <v>0.75</v>
      </c>
      <c r="G23" s="177" t="s">
        <v>954</v>
      </c>
      <c r="H23" s="136"/>
      <c r="I23" s="129">
        <v>0.75</v>
      </c>
      <c r="J23" s="177" t="s">
        <v>954</v>
      </c>
      <c r="K23" s="136"/>
      <c r="L23" s="129">
        <v>0.75</v>
      </c>
      <c r="M23" s="177" t="s">
        <v>954</v>
      </c>
      <c r="N23" s="136"/>
      <c r="O23" s="129">
        <v>0.75</v>
      </c>
      <c r="P23" s="177" t="s">
        <v>954</v>
      </c>
      <c r="Q23" s="136"/>
      <c r="R23" s="129">
        <v>0.75</v>
      </c>
    </row>
    <row r="24" spans="2:18" ht="19.5" customHeight="1" thickBot="1">
      <c r="B24" s="150"/>
      <c r="C24" s="140"/>
      <c r="D24" s="135" t="s">
        <v>110</v>
      </c>
      <c r="E24" s="136"/>
      <c r="F24" s="129"/>
      <c r="G24" s="176" t="s">
        <v>110</v>
      </c>
      <c r="H24" s="146"/>
      <c r="I24" s="131"/>
      <c r="J24" s="176" t="s">
        <v>110</v>
      </c>
      <c r="K24" s="146"/>
      <c r="L24" s="131"/>
      <c r="M24" s="176" t="s">
        <v>110</v>
      </c>
      <c r="N24" s="146"/>
      <c r="O24" s="131"/>
      <c r="P24" s="176" t="s">
        <v>110</v>
      </c>
      <c r="Q24" s="146"/>
      <c r="R24" s="131"/>
    </row>
    <row r="25" spans="2:18" ht="19.5" thickBot="1">
      <c r="B25" s="151"/>
      <c r="C25" s="18" t="s">
        <v>76</v>
      </c>
      <c r="D25" s="132"/>
      <c r="E25" s="132"/>
      <c r="F25" s="127">
        <f>SUM(F15:F24)</f>
        <v>7.75</v>
      </c>
      <c r="G25" s="132"/>
      <c r="H25" s="132"/>
      <c r="I25" s="127">
        <f>SUM(I15:I24)</f>
        <v>7.75</v>
      </c>
      <c r="J25" s="132"/>
      <c r="K25" s="132"/>
      <c r="L25" s="127">
        <f>SUM(L15:L24)</f>
        <v>7.75</v>
      </c>
      <c r="M25" s="132"/>
      <c r="N25" s="132"/>
      <c r="O25" s="127">
        <f>SUM(O15:O24)</f>
        <v>7.75</v>
      </c>
      <c r="P25" s="132"/>
      <c r="Q25" s="132"/>
      <c r="R25" s="127">
        <f>SUM(R15:R24)</f>
        <v>7.75</v>
      </c>
    </row>
    <row r="26" spans="2:18" ht="18.75" customHeight="1">
      <c r="B26" s="149" t="s">
        <v>938</v>
      </c>
      <c r="C26" s="138" t="s">
        <v>9</v>
      </c>
      <c r="D26" s="156" t="s">
        <v>939</v>
      </c>
      <c r="E26" s="153"/>
      <c r="F26" s="6">
        <v>1.5</v>
      </c>
      <c r="G26" s="156" t="s">
        <v>946</v>
      </c>
      <c r="H26" s="153"/>
      <c r="I26" s="6">
        <v>1.5</v>
      </c>
      <c r="J26" s="156" t="s">
        <v>946</v>
      </c>
      <c r="K26" s="153"/>
      <c r="L26" s="6">
        <v>1.5</v>
      </c>
      <c r="M26" s="156" t="s">
        <v>947</v>
      </c>
      <c r="N26" s="153"/>
      <c r="O26" s="6">
        <v>1.5</v>
      </c>
      <c r="P26" s="156" t="s">
        <v>947</v>
      </c>
      <c r="Q26" s="153"/>
      <c r="R26" s="6">
        <v>1.5</v>
      </c>
    </row>
    <row r="27" spans="2:18" ht="18.75" customHeight="1">
      <c r="B27" s="150"/>
      <c r="C27" s="139"/>
      <c r="D27" s="175" t="s">
        <v>941</v>
      </c>
      <c r="E27" s="168"/>
      <c r="F27" s="7">
        <v>0.1</v>
      </c>
      <c r="G27" s="175" t="s">
        <v>990</v>
      </c>
      <c r="H27" s="168"/>
      <c r="I27" s="7">
        <v>0.1</v>
      </c>
      <c r="J27" s="175" t="s">
        <v>941</v>
      </c>
      <c r="K27" s="168"/>
      <c r="L27" s="7">
        <v>0.1</v>
      </c>
      <c r="M27" s="175" t="s">
        <v>941</v>
      </c>
      <c r="N27" s="168"/>
      <c r="O27" s="7">
        <v>0.1</v>
      </c>
      <c r="P27" s="175" t="s">
        <v>941</v>
      </c>
      <c r="Q27" s="168"/>
      <c r="R27" s="7">
        <v>0.1</v>
      </c>
    </row>
    <row r="28" spans="2:18" ht="18.75" customHeight="1">
      <c r="B28" s="150"/>
      <c r="C28" s="139"/>
      <c r="D28" s="167" t="s">
        <v>955</v>
      </c>
      <c r="E28" s="168"/>
      <c r="F28" s="12">
        <v>0.9</v>
      </c>
      <c r="G28" s="167" t="s">
        <v>991</v>
      </c>
      <c r="H28" s="168"/>
      <c r="I28" s="12">
        <v>0.9</v>
      </c>
      <c r="J28" s="167" t="s">
        <v>991</v>
      </c>
      <c r="K28" s="168"/>
      <c r="L28" s="12">
        <v>1</v>
      </c>
      <c r="M28" s="174" t="s">
        <v>1045</v>
      </c>
      <c r="N28" s="165"/>
      <c r="O28" s="116">
        <v>1</v>
      </c>
      <c r="P28" s="167" t="s">
        <v>1046</v>
      </c>
      <c r="Q28" s="168"/>
      <c r="R28" s="12">
        <v>0.5</v>
      </c>
    </row>
    <row r="29" spans="2:18" ht="18.75" customHeight="1">
      <c r="B29" s="150"/>
      <c r="C29" s="139"/>
      <c r="D29" s="167" t="s">
        <v>951</v>
      </c>
      <c r="E29" s="168"/>
      <c r="F29" s="12">
        <v>1</v>
      </c>
      <c r="G29" s="167"/>
      <c r="H29" s="168"/>
      <c r="I29" s="12"/>
      <c r="J29" s="166"/>
      <c r="K29" s="142"/>
      <c r="L29" s="12"/>
      <c r="M29" s="174" t="s">
        <v>1047</v>
      </c>
      <c r="N29" s="165"/>
      <c r="O29" s="116">
        <v>1</v>
      </c>
      <c r="P29" s="154" t="s">
        <v>942</v>
      </c>
      <c r="Q29" s="155"/>
      <c r="R29" s="7">
        <v>0.5</v>
      </c>
    </row>
    <row r="30" spans="2:18" ht="19.5" customHeight="1" thickBot="1">
      <c r="B30" s="150"/>
      <c r="C30" s="140"/>
      <c r="D30" s="172" t="s">
        <v>1050</v>
      </c>
      <c r="E30" s="173"/>
      <c r="F30" s="119">
        <v>0.5</v>
      </c>
      <c r="G30" s="172" t="s">
        <v>1048</v>
      </c>
      <c r="H30" s="173"/>
      <c r="I30" s="119">
        <v>1.5</v>
      </c>
      <c r="J30" s="172" t="s">
        <v>964</v>
      </c>
      <c r="K30" s="173"/>
      <c r="L30" s="119">
        <v>1</v>
      </c>
      <c r="M30" s="161" t="s">
        <v>952</v>
      </c>
      <c r="N30" s="159"/>
      <c r="O30" s="34">
        <v>0.4</v>
      </c>
      <c r="P30" s="164" t="s">
        <v>964</v>
      </c>
      <c r="Q30" s="165"/>
      <c r="R30" s="119">
        <v>1</v>
      </c>
    </row>
    <row r="31" spans="2:18" ht="18.75" customHeight="1">
      <c r="B31" s="150"/>
      <c r="C31" s="138" t="s">
        <v>20</v>
      </c>
      <c r="D31" s="164" t="s">
        <v>1047</v>
      </c>
      <c r="E31" s="165"/>
      <c r="F31" s="116">
        <v>1</v>
      </c>
      <c r="G31" s="164" t="s">
        <v>964</v>
      </c>
      <c r="H31" s="142"/>
      <c r="I31" s="116">
        <v>1</v>
      </c>
      <c r="J31" s="164" t="s">
        <v>996</v>
      </c>
      <c r="K31" s="142"/>
      <c r="L31" s="12">
        <v>2</v>
      </c>
      <c r="M31" s="174" t="s">
        <v>996</v>
      </c>
      <c r="N31" s="165"/>
      <c r="O31" s="126">
        <v>1</v>
      </c>
      <c r="P31" s="169"/>
      <c r="Q31" s="170"/>
      <c r="R31" s="12"/>
    </row>
    <row r="32" spans="2:18" ht="18.75" customHeight="1">
      <c r="B32" s="150"/>
      <c r="C32" s="139"/>
      <c r="D32" s="164" t="s">
        <v>1049</v>
      </c>
      <c r="E32" s="165"/>
      <c r="F32" s="116">
        <v>1</v>
      </c>
      <c r="G32" s="164" t="s">
        <v>992</v>
      </c>
      <c r="H32" s="171"/>
      <c r="I32" s="116">
        <v>1</v>
      </c>
      <c r="J32" s="166" t="s">
        <v>1045</v>
      </c>
      <c r="K32" s="142"/>
      <c r="L32" s="116">
        <v>0.9</v>
      </c>
      <c r="M32" s="167" t="s">
        <v>960</v>
      </c>
      <c r="N32" s="168"/>
      <c r="O32" s="12">
        <v>1</v>
      </c>
      <c r="P32" s="167" t="s">
        <v>1045</v>
      </c>
      <c r="Q32" s="168"/>
      <c r="R32" s="12">
        <v>1.9</v>
      </c>
    </row>
    <row r="33" spans="2:18" ht="18.75" customHeight="1">
      <c r="B33" s="150"/>
      <c r="C33" s="139"/>
      <c r="D33" s="164" t="s">
        <v>996</v>
      </c>
      <c r="E33" s="165"/>
      <c r="F33" s="116">
        <v>0.5</v>
      </c>
      <c r="G33" s="164" t="s">
        <v>996</v>
      </c>
      <c r="H33" s="165"/>
      <c r="I33" s="12">
        <v>0.5</v>
      </c>
      <c r="J33" s="166"/>
      <c r="K33" s="142"/>
      <c r="L33" s="116"/>
      <c r="M33" s="154" t="s">
        <v>943</v>
      </c>
      <c r="N33" s="155"/>
      <c r="O33" s="7">
        <v>0.5</v>
      </c>
      <c r="P33" s="167" t="s">
        <v>955</v>
      </c>
      <c r="Q33" s="168"/>
      <c r="R33" s="12">
        <v>1</v>
      </c>
    </row>
    <row r="34" spans="2:18" ht="18.75" customHeight="1">
      <c r="B34" s="150"/>
      <c r="C34" s="139"/>
      <c r="D34" s="167" t="s">
        <v>944</v>
      </c>
      <c r="E34" s="168"/>
      <c r="F34" s="12">
        <v>0.5</v>
      </c>
      <c r="G34" s="167" t="s">
        <v>944</v>
      </c>
      <c r="H34" s="168"/>
      <c r="I34" s="12">
        <v>0.5</v>
      </c>
      <c r="J34" s="167" t="s">
        <v>944</v>
      </c>
      <c r="K34" s="168"/>
      <c r="L34" s="12">
        <v>0.5</v>
      </c>
      <c r="M34" s="167" t="s">
        <v>944</v>
      </c>
      <c r="N34" s="168"/>
      <c r="O34" s="12">
        <v>0.5</v>
      </c>
      <c r="P34" s="167" t="s">
        <v>944</v>
      </c>
      <c r="Q34" s="168"/>
      <c r="R34" s="12">
        <v>0.5</v>
      </c>
    </row>
    <row r="35" spans="2:18" ht="19.5" customHeight="1" thickBot="1">
      <c r="B35" s="150"/>
      <c r="C35" s="140"/>
      <c r="D35" s="160" t="s">
        <v>940</v>
      </c>
      <c r="E35" s="159"/>
      <c r="F35" s="9">
        <v>0.75</v>
      </c>
      <c r="G35" s="161" t="s">
        <v>940</v>
      </c>
      <c r="H35" s="159"/>
      <c r="I35" s="9">
        <v>0.75</v>
      </c>
      <c r="J35" s="161" t="s">
        <v>940</v>
      </c>
      <c r="K35" s="159"/>
      <c r="L35" s="9">
        <v>0.75</v>
      </c>
      <c r="M35" s="161" t="s">
        <v>940</v>
      </c>
      <c r="N35" s="159"/>
      <c r="O35" s="9">
        <v>0.75</v>
      </c>
      <c r="P35" s="161" t="s">
        <v>940</v>
      </c>
      <c r="Q35" s="159"/>
      <c r="R35" s="9">
        <v>0.75</v>
      </c>
    </row>
    <row r="36" spans="2:18" ht="19.5" thickBot="1">
      <c r="B36" s="151"/>
      <c r="C36" s="18" t="s">
        <v>76</v>
      </c>
      <c r="D36" s="132"/>
      <c r="E36" s="132"/>
      <c r="F36" s="127">
        <f>SUM(F26:F35)</f>
        <v>7.75</v>
      </c>
      <c r="G36" s="132"/>
      <c r="H36" s="132"/>
      <c r="I36" s="127">
        <f>SUM(I26:I35)</f>
        <v>7.75</v>
      </c>
      <c r="J36" s="132"/>
      <c r="K36" s="132"/>
      <c r="L36" s="127">
        <f>SUM(L26:L35)</f>
        <v>7.75</v>
      </c>
      <c r="M36" s="132"/>
      <c r="N36" s="132"/>
      <c r="O36" s="127">
        <f>SUM(O26:O35)</f>
        <v>7.75</v>
      </c>
      <c r="P36" s="132"/>
      <c r="Q36" s="132"/>
      <c r="R36" s="127">
        <f>SUM(R26:R35)</f>
        <v>7.75</v>
      </c>
    </row>
    <row r="37" spans="2:18" ht="18.75" customHeight="1">
      <c r="B37" s="149" t="s">
        <v>926</v>
      </c>
      <c r="C37" s="138" t="s">
        <v>9</v>
      </c>
      <c r="D37" s="152" t="s">
        <v>927</v>
      </c>
      <c r="E37" s="153"/>
      <c r="F37" s="6">
        <v>0.5</v>
      </c>
      <c r="G37" s="143"/>
      <c r="H37" s="144"/>
      <c r="I37" s="128"/>
      <c r="J37" s="152"/>
      <c r="K37" s="153"/>
      <c r="L37" s="6"/>
      <c r="M37" s="152" t="s">
        <v>927</v>
      </c>
      <c r="N37" s="153"/>
      <c r="O37" s="6">
        <v>0.5</v>
      </c>
      <c r="P37" s="152" t="s">
        <v>927</v>
      </c>
      <c r="Q37" s="153"/>
      <c r="R37" s="6">
        <v>0.5</v>
      </c>
    </row>
    <row r="38" spans="2:18" ht="18.75" customHeight="1">
      <c r="B38" s="150"/>
      <c r="C38" s="139"/>
      <c r="D38" s="154" t="s">
        <v>969</v>
      </c>
      <c r="E38" s="155"/>
      <c r="F38" s="7">
        <v>1</v>
      </c>
      <c r="G38" s="135"/>
      <c r="H38" s="136"/>
      <c r="I38" s="129"/>
      <c r="J38" s="154"/>
      <c r="K38" s="155"/>
      <c r="L38" s="7"/>
      <c r="M38" s="154" t="s">
        <v>969</v>
      </c>
      <c r="N38" s="155"/>
      <c r="O38" s="7">
        <v>1</v>
      </c>
      <c r="P38" s="154" t="s">
        <v>969</v>
      </c>
      <c r="Q38" s="155"/>
      <c r="R38" s="7">
        <v>1.5</v>
      </c>
    </row>
    <row r="39" spans="2:18" ht="18.75" customHeight="1">
      <c r="B39" s="150"/>
      <c r="C39" s="139"/>
      <c r="D39" s="157" t="s">
        <v>945</v>
      </c>
      <c r="E39" s="155"/>
      <c r="F39" s="7">
        <v>0.5</v>
      </c>
      <c r="G39" s="135"/>
      <c r="H39" s="136"/>
      <c r="I39" s="129"/>
      <c r="J39" s="157"/>
      <c r="K39" s="155"/>
      <c r="L39" s="7"/>
      <c r="M39" s="157" t="s">
        <v>945</v>
      </c>
      <c r="N39" s="155"/>
      <c r="O39" s="7">
        <v>0.5</v>
      </c>
      <c r="P39" s="157"/>
      <c r="Q39" s="155"/>
      <c r="R39" s="7"/>
    </row>
    <row r="40" spans="2:18" ht="18.75" customHeight="1">
      <c r="B40" s="150"/>
      <c r="C40" s="139"/>
      <c r="D40" s="162"/>
      <c r="E40" s="163"/>
      <c r="F40" s="7"/>
      <c r="G40" s="141"/>
      <c r="H40" s="142"/>
      <c r="I40" s="129"/>
      <c r="J40" s="162"/>
      <c r="K40" s="163"/>
      <c r="L40" s="7"/>
      <c r="M40" s="162"/>
      <c r="N40" s="163"/>
      <c r="O40" s="7"/>
      <c r="P40" s="162"/>
      <c r="Q40" s="163"/>
      <c r="R40" s="7"/>
    </row>
    <row r="41" spans="2:18" ht="19.5" customHeight="1" thickBot="1">
      <c r="B41" s="150"/>
      <c r="C41" s="140"/>
      <c r="D41" s="158"/>
      <c r="E41" s="159"/>
      <c r="F41" s="9"/>
      <c r="G41" s="145"/>
      <c r="H41" s="146"/>
      <c r="I41" s="131"/>
      <c r="J41" s="158"/>
      <c r="K41" s="159"/>
      <c r="L41" s="9"/>
      <c r="M41" s="158"/>
      <c r="N41" s="159"/>
      <c r="O41" s="9"/>
      <c r="P41" s="158"/>
      <c r="Q41" s="159"/>
      <c r="R41" s="9"/>
    </row>
    <row r="42" spans="2:18" ht="18.75" customHeight="1">
      <c r="B42" s="150"/>
      <c r="C42" s="138" t="s">
        <v>20</v>
      </c>
      <c r="D42" s="156" t="s">
        <v>969</v>
      </c>
      <c r="E42" s="153"/>
      <c r="F42" s="7">
        <v>3</v>
      </c>
      <c r="G42" s="143"/>
      <c r="H42" s="144"/>
      <c r="I42" s="128"/>
      <c r="J42" s="156"/>
      <c r="K42" s="153"/>
      <c r="L42" s="7"/>
      <c r="M42" s="156" t="s">
        <v>969</v>
      </c>
      <c r="N42" s="153"/>
      <c r="O42" s="7">
        <v>3</v>
      </c>
      <c r="P42" s="156" t="s">
        <v>969</v>
      </c>
      <c r="Q42" s="153"/>
      <c r="R42" s="7">
        <v>3</v>
      </c>
    </row>
    <row r="43" spans="2:18" ht="18.75" customHeight="1">
      <c r="B43" s="150"/>
      <c r="C43" s="139"/>
      <c r="D43" s="154"/>
      <c r="E43" s="155"/>
      <c r="F43" s="7"/>
      <c r="G43" s="135"/>
      <c r="H43" s="136"/>
      <c r="I43" s="129"/>
      <c r="J43" s="154"/>
      <c r="K43" s="155"/>
      <c r="L43" s="7"/>
      <c r="M43" s="154"/>
      <c r="N43" s="155"/>
      <c r="O43" s="7"/>
      <c r="P43" s="154"/>
      <c r="Q43" s="155"/>
      <c r="R43" s="7"/>
    </row>
    <row r="44" spans="2:18" ht="18.75" customHeight="1">
      <c r="B44" s="150"/>
      <c r="C44" s="139"/>
      <c r="D44" s="135"/>
      <c r="E44" s="136"/>
      <c r="F44" s="129"/>
      <c r="G44" s="135"/>
      <c r="H44" s="136"/>
      <c r="I44" s="129"/>
      <c r="J44" s="135"/>
      <c r="K44" s="136"/>
      <c r="L44" s="129"/>
      <c r="M44" s="135"/>
      <c r="N44" s="136"/>
      <c r="O44" s="129"/>
      <c r="P44" s="135"/>
      <c r="Q44" s="136"/>
      <c r="R44" s="129"/>
    </row>
    <row r="45" spans="2:18" ht="18.75" customHeight="1">
      <c r="B45" s="150"/>
      <c r="C45" s="139"/>
      <c r="D45" s="135"/>
      <c r="E45" s="136"/>
      <c r="F45" s="129"/>
      <c r="G45" s="135"/>
      <c r="H45" s="136"/>
      <c r="I45" s="129"/>
      <c r="J45" s="135"/>
      <c r="K45" s="136"/>
      <c r="L45" s="129"/>
      <c r="M45" s="135"/>
      <c r="N45" s="136"/>
      <c r="O45" s="129"/>
      <c r="P45" s="135"/>
      <c r="Q45" s="136"/>
      <c r="R45" s="129"/>
    </row>
    <row r="46" spans="2:18" ht="19.5" customHeight="1" thickBot="1">
      <c r="B46" s="150"/>
      <c r="C46" s="140"/>
      <c r="D46" s="135"/>
      <c r="E46" s="136"/>
      <c r="F46" s="129"/>
      <c r="G46" s="135"/>
      <c r="H46" s="136"/>
      <c r="I46" s="129"/>
      <c r="J46" s="135"/>
      <c r="K46" s="136"/>
      <c r="L46" s="129"/>
      <c r="M46" s="135"/>
      <c r="N46" s="136"/>
      <c r="O46" s="129"/>
      <c r="P46" s="135"/>
      <c r="Q46" s="136"/>
      <c r="R46" s="129"/>
    </row>
    <row r="47" spans="2:18" ht="19.5" thickBot="1">
      <c r="B47" s="151"/>
      <c r="C47" s="18" t="s">
        <v>76</v>
      </c>
      <c r="D47" s="132"/>
      <c r="E47" s="132"/>
      <c r="F47" s="127">
        <f>SUM(F37:F46)</f>
        <v>5</v>
      </c>
      <c r="G47" s="132"/>
      <c r="H47" s="132"/>
      <c r="I47" s="127">
        <f>SUM(I37:I46)</f>
        <v>0</v>
      </c>
      <c r="J47" s="132"/>
      <c r="K47" s="132"/>
      <c r="L47" s="127">
        <f>SUM(L37:L46)</f>
        <v>0</v>
      </c>
      <c r="M47" s="132"/>
      <c r="N47" s="132"/>
      <c r="O47" s="127">
        <f>SUM(O37:O46)</f>
        <v>5</v>
      </c>
      <c r="P47" s="132"/>
      <c r="Q47" s="132"/>
      <c r="R47" s="127">
        <f>SUM(R37:R46)</f>
        <v>5</v>
      </c>
    </row>
    <row r="48" spans="2:18" ht="18.75" customHeight="1">
      <c r="B48" s="149" t="s">
        <v>1012</v>
      </c>
      <c r="C48" s="138" t="s">
        <v>9</v>
      </c>
      <c r="D48" s="143"/>
      <c r="E48" s="144"/>
      <c r="F48" s="128"/>
      <c r="G48" s="152" t="s">
        <v>927</v>
      </c>
      <c r="H48" s="153"/>
      <c r="I48" s="6">
        <v>0.5</v>
      </c>
      <c r="J48" s="143"/>
      <c r="K48" s="144"/>
      <c r="L48" s="128"/>
      <c r="M48" s="152" t="s">
        <v>927</v>
      </c>
      <c r="N48" s="153"/>
      <c r="O48" s="6">
        <v>0.5</v>
      </c>
      <c r="P48" s="143"/>
      <c r="Q48" s="144"/>
      <c r="R48" s="128"/>
    </row>
    <row r="49" spans="2:18" ht="18.75" customHeight="1">
      <c r="B49" s="150"/>
      <c r="C49" s="139"/>
      <c r="D49" s="135"/>
      <c r="E49" s="136"/>
      <c r="F49" s="129"/>
      <c r="G49" s="147" t="s">
        <v>1055</v>
      </c>
      <c r="H49" s="148"/>
      <c r="I49" s="111">
        <v>2.5</v>
      </c>
      <c r="J49" s="135"/>
      <c r="K49" s="136"/>
      <c r="L49" s="129"/>
      <c r="M49" s="147" t="s">
        <v>1055</v>
      </c>
      <c r="N49" s="148"/>
      <c r="O49" s="111">
        <v>2.5</v>
      </c>
      <c r="P49" s="135"/>
      <c r="Q49" s="136"/>
      <c r="R49" s="129"/>
    </row>
    <row r="50" spans="2:18" ht="18.75" customHeight="1">
      <c r="B50" s="150"/>
      <c r="C50" s="139"/>
      <c r="D50" s="135"/>
      <c r="E50" s="136"/>
      <c r="F50" s="129"/>
      <c r="G50" s="135"/>
      <c r="H50" s="136"/>
      <c r="I50" s="129"/>
      <c r="J50" s="135"/>
      <c r="K50" s="136"/>
      <c r="L50" s="129"/>
      <c r="M50" s="135"/>
      <c r="N50" s="136"/>
      <c r="O50" s="129"/>
      <c r="P50" s="135"/>
      <c r="Q50" s="136"/>
      <c r="R50" s="129"/>
    </row>
    <row r="51" spans="2:18" ht="18.75" customHeight="1">
      <c r="B51" s="150"/>
      <c r="C51" s="139"/>
      <c r="D51" s="141"/>
      <c r="E51" s="142"/>
      <c r="F51" s="129"/>
      <c r="G51" s="141"/>
      <c r="H51" s="142"/>
      <c r="I51" s="129"/>
      <c r="J51" s="141"/>
      <c r="K51" s="142"/>
      <c r="L51" s="129"/>
      <c r="M51" s="141"/>
      <c r="N51" s="142"/>
      <c r="O51" s="129"/>
      <c r="P51" s="141"/>
      <c r="Q51" s="142"/>
      <c r="R51" s="129"/>
    </row>
    <row r="52" spans="2:18" ht="19.5" customHeight="1" thickBot="1">
      <c r="B52" s="150"/>
      <c r="C52" s="140"/>
      <c r="D52" s="145"/>
      <c r="E52" s="146"/>
      <c r="F52" s="131"/>
      <c r="G52" s="145"/>
      <c r="H52" s="146"/>
      <c r="I52" s="131"/>
      <c r="J52" s="145"/>
      <c r="K52" s="146"/>
      <c r="L52" s="131"/>
      <c r="M52" s="145"/>
      <c r="N52" s="146"/>
      <c r="O52" s="131"/>
      <c r="P52" s="145"/>
      <c r="Q52" s="146"/>
      <c r="R52" s="131"/>
    </row>
    <row r="53" spans="2:18" ht="18.75" customHeight="1">
      <c r="B53" s="150"/>
      <c r="C53" s="138" t="s">
        <v>20</v>
      </c>
      <c r="D53" s="143"/>
      <c r="E53" s="144"/>
      <c r="F53" s="128"/>
      <c r="G53" s="143" t="s">
        <v>1056</v>
      </c>
      <c r="H53" s="144"/>
      <c r="I53" s="128">
        <v>4.75</v>
      </c>
      <c r="J53" s="143"/>
      <c r="K53" s="144"/>
      <c r="L53" s="128"/>
      <c r="M53" s="143" t="s">
        <v>1056</v>
      </c>
      <c r="N53" s="144"/>
      <c r="O53" s="128">
        <v>4.75</v>
      </c>
      <c r="P53" s="143"/>
      <c r="Q53" s="144"/>
      <c r="R53" s="128"/>
    </row>
    <row r="54" spans="2:18" ht="18.75" customHeight="1">
      <c r="B54" s="150"/>
      <c r="C54" s="139"/>
      <c r="D54" s="135"/>
      <c r="E54" s="136"/>
      <c r="F54" s="129"/>
      <c r="G54" s="135"/>
      <c r="H54" s="136"/>
      <c r="I54" s="129"/>
      <c r="J54" s="135"/>
      <c r="K54" s="136"/>
      <c r="L54" s="129"/>
      <c r="M54" s="135"/>
      <c r="N54" s="136"/>
      <c r="O54" s="129"/>
      <c r="P54" s="135"/>
      <c r="Q54" s="136"/>
      <c r="R54" s="129"/>
    </row>
    <row r="55" spans="2:18" ht="18.75" customHeight="1">
      <c r="B55" s="150"/>
      <c r="C55" s="139"/>
      <c r="D55" s="135"/>
      <c r="E55" s="136"/>
      <c r="F55" s="129"/>
      <c r="G55" s="135"/>
      <c r="H55" s="136"/>
      <c r="I55" s="129"/>
      <c r="J55" s="135"/>
      <c r="K55" s="136"/>
      <c r="L55" s="129"/>
      <c r="M55" s="135"/>
      <c r="N55" s="136"/>
      <c r="O55" s="129"/>
      <c r="P55" s="135"/>
      <c r="Q55" s="136"/>
      <c r="R55" s="129"/>
    </row>
    <row r="56" spans="2:18" ht="18.75" customHeight="1">
      <c r="B56" s="150"/>
      <c r="C56" s="139"/>
      <c r="D56" s="135"/>
      <c r="E56" s="136"/>
      <c r="F56" s="129"/>
      <c r="G56" s="135"/>
      <c r="H56" s="136"/>
      <c r="I56" s="129"/>
      <c r="J56" s="135"/>
      <c r="K56" s="136"/>
      <c r="L56" s="129"/>
      <c r="M56" s="135"/>
      <c r="N56" s="136"/>
      <c r="O56" s="129"/>
      <c r="P56" s="135"/>
      <c r="Q56" s="136"/>
      <c r="R56" s="129"/>
    </row>
    <row r="57" spans="2:18" ht="19.5" customHeight="1" thickBot="1">
      <c r="B57" s="150"/>
      <c r="C57" s="140"/>
      <c r="D57" s="135"/>
      <c r="E57" s="136"/>
      <c r="F57" s="129"/>
      <c r="G57" s="135"/>
      <c r="H57" s="136"/>
      <c r="I57" s="129"/>
      <c r="J57" s="135"/>
      <c r="K57" s="136"/>
      <c r="L57" s="129"/>
      <c r="M57" s="135"/>
      <c r="N57" s="136"/>
      <c r="O57" s="129"/>
      <c r="P57" s="135"/>
      <c r="Q57" s="136"/>
      <c r="R57" s="129"/>
    </row>
    <row r="58" spans="2:18" ht="19.5" thickBot="1">
      <c r="B58" s="151"/>
      <c r="C58" s="18" t="s">
        <v>76</v>
      </c>
      <c r="D58" s="132"/>
      <c r="E58" s="132"/>
      <c r="F58" s="127">
        <f>SUM(F48:F57)</f>
        <v>0</v>
      </c>
      <c r="G58" s="132"/>
      <c r="H58" s="132"/>
      <c r="I58" s="127">
        <f>SUM(I48:I57)</f>
        <v>7.75</v>
      </c>
      <c r="J58" s="132"/>
      <c r="K58" s="132"/>
      <c r="L58" s="127">
        <f>SUM(L48:L57)</f>
        <v>0</v>
      </c>
      <c r="M58" s="132"/>
      <c r="N58" s="132"/>
      <c r="O58" s="127">
        <f>SUM(O48:O57)</f>
        <v>7.75</v>
      </c>
      <c r="P58" s="132"/>
      <c r="Q58" s="132"/>
      <c r="R58" s="127">
        <f>SUM(R48:R57)</f>
        <v>0</v>
      </c>
    </row>
    <row r="59" spans="2:18" ht="18.75" customHeight="1">
      <c r="B59" s="149" t="s">
        <v>1013</v>
      </c>
      <c r="C59" s="138" t="s">
        <v>9</v>
      </c>
      <c r="D59" s="143"/>
      <c r="E59" s="144"/>
      <c r="F59" s="128"/>
      <c r="G59" s="152" t="s">
        <v>927</v>
      </c>
      <c r="H59" s="153"/>
      <c r="I59" s="6">
        <v>0.5</v>
      </c>
      <c r="J59" s="143"/>
      <c r="K59" s="144"/>
      <c r="L59" s="128"/>
      <c r="M59" s="152" t="s">
        <v>927</v>
      </c>
      <c r="N59" s="153"/>
      <c r="O59" s="6">
        <v>0.5</v>
      </c>
      <c r="P59" s="143"/>
      <c r="Q59" s="144"/>
      <c r="R59" s="128"/>
    </row>
    <row r="60" spans="2:18" ht="18.75" customHeight="1">
      <c r="B60" s="150"/>
      <c r="C60" s="139"/>
      <c r="D60" s="135"/>
      <c r="E60" s="136"/>
      <c r="F60" s="129"/>
      <c r="G60" s="147" t="s">
        <v>1055</v>
      </c>
      <c r="H60" s="148"/>
      <c r="I60" s="111">
        <v>2.5</v>
      </c>
      <c r="J60" s="135"/>
      <c r="K60" s="136"/>
      <c r="L60" s="129"/>
      <c r="M60" s="147" t="s">
        <v>1055</v>
      </c>
      <c r="N60" s="148"/>
      <c r="O60" s="111">
        <v>2.5</v>
      </c>
      <c r="P60" s="135"/>
      <c r="Q60" s="136"/>
      <c r="R60" s="129"/>
    </row>
    <row r="61" spans="2:18" ht="18.75" customHeight="1">
      <c r="B61" s="150"/>
      <c r="C61" s="139"/>
      <c r="D61" s="135"/>
      <c r="E61" s="136"/>
      <c r="F61" s="129"/>
      <c r="G61" s="135"/>
      <c r="H61" s="136"/>
      <c r="I61" s="129"/>
      <c r="J61" s="135"/>
      <c r="K61" s="136"/>
      <c r="L61" s="129"/>
      <c r="M61" s="135"/>
      <c r="N61" s="136"/>
      <c r="O61" s="129"/>
      <c r="P61" s="135"/>
      <c r="Q61" s="136"/>
      <c r="R61" s="129"/>
    </row>
    <row r="62" spans="2:18" ht="18.75" customHeight="1">
      <c r="B62" s="150"/>
      <c r="C62" s="139"/>
      <c r="D62" s="141"/>
      <c r="E62" s="142"/>
      <c r="F62" s="129"/>
      <c r="G62" s="141"/>
      <c r="H62" s="142"/>
      <c r="I62" s="129"/>
      <c r="J62" s="141"/>
      <c r="K62" s="142"/>
      <c r="L62" s="129"/>
      <c r="M62" s="141"/>
      <c r="N62" s="142"/>
      <c r="O62" s="129"/>
      <c r="P62" s="141"/>
      <c r="Q62" s="142"/>
      <c r="R62" s="129"/>
    </row>
    <row r="63" spans="2:18" ht="19.5" customHeight="1" thickBot="1">
      <c r="B63" s="150"/>
      <c r="C63" s="140"/>
      <c r="D63" s="145"/>
      <c r="E63" s="146"/>
      <c r="F63" s="131"/>
      <c r="G63" s="145"/>
      <c r="H63" s="146"/>
      <c r="I63" s="131"/>
      <c r="J63" s="145"/>
      <c r="K63" s="146"/>
      <c r="L63" s="131"/>
      <c r="M63" s="145"/>
      <c r="N63" s="146"/>
      <c r="O63" s="131"/>
      <c r="P63" s="145"/>
      <c r="Q63" s="146"/>
      <c r="R63" s="131"/>
    </row>
    <row r="64" spans="2:18" ht="18.75" customHeight="1">
      <c r="B64" s="150"/>
      <c r="C64" s="138" t="s">
        <v>20</v>
      </c>
      <c r="D64" s="143"/>
      <c r="E64" s="144"/>
      <c r="F64" s="128"/>
      <c r="G64" s="143" t="s">
        <v>1056</v>
      </c>
      <c r="H64" s="144"/>
      <c r="I64" s="128">
        <v>4.75</v>
      </c>
      <c r="J64" s="143"/>
      <c r="K64" s="144"/>
      <c r="L64" s="128"/>
      <c r="M64" s="143" t="s">
        <v>1056</v>
      </c>
      <c r="N64" s="144"/>
      <c r="O64" s="128">
        <v>4.75</v>
      </c>
      <c r="P64" s="143"/>
      <c r="Q64" s="144"/>
      <c r="R64" s="128"/>
    </row>
    <row r="65" spans="2:18" ht="18.75" customHeight="1">
      <c r="B65" s="150"/>
      <c r="C65" s="139"/>
      <c r="D65" s="135"/>
      <c r="E65" s="136"/>
      <c r="F65" s="129"/>
      <c r="G65" s="135"/>
      <c r="H65" s="136"/>
      <c r="I65" s="129"/>
      <c r="J65" s="135"/>
      <c r="K65" s="136"/>
      <c r="L65" s="129"/>
      <c r="M65" s="135"/>
      <c r="N65" s="136"/>
      <c r="O65" s="129"/>
      <c r="P65" s="135"/>
      <c r="Q65" s="136"/>
      <c r="R65" s="129"/>
    </row>
    <row r="66" spans="2:18" ht="18.75" customHeight="1">
      <c r="B66" s="150"/>
      <c r="C66" s="139"/>
      <c r="D66" s="135"/>
      <c r="E66" s="136"/>
      <c r="F66" s="129"/>
      <c r="G66" s="135"/>
      <c r="H66" s="136"/>
      <c r="I66" s="129"/>
      <c r="J66" s="135"/>
      <c r="K66" s="136"/>
      <c r="L66" s="129"/>
      <c r="M66" s="135"/>
      <c r="N66" s="136"/>
      <c r="O66" s="129"/>
      <c r="P66" s="135"/>
      <c r="Q66" s="136"/>
      <c r="R66" s="129"/>
    </row>
    <row r="67" spans="2:18" ht="18.75" customHeight="1">
      <c r="B67" s="150"/>
      <c r="C67" s="139"/>
      <c r="D67" s="135"/>
      <c r="E67" s="136"/>
      <c r="F67" s="129"/>
      <c r="G67" s="135"/>
      <c r="H67" s="136"/>
      <c r="I67" s="129"/>
      <c r="J67" s="135"/>
      <c r="K67" s="136"/>
      <c r="L67" s="129"/>
      <c r="M67" s="135"/>
      <c r="N67" s="136"/>
      <c r="O67" s="129"/>
      <c r="P67" s="135"/>
      <c r="Q67" s="136"/>
      <c r="R67" s="129"/>
    </row>
    <row r="68" spans="2:18" ht="19.5" customHeight="1" thickBot="1">
      <c r="B68" s="150"/>
      <c r="C68" s="140"/>
      <c r="D68" s="135"/>
      <c r="E68" s="136"/>
      <c r="F68" s="129"/>
      <c r="G68" s="135"/>
      <c r="H68" s="136"/>
      <c r="I68" s="129"/>
      <c r="J68" s="135"/>
      <c r="K68" s="136"/>
      <c r="L68" s="129"/>
      <c r="M68" s="135"/>
      <c r="N68" s="136"/>
      <c r="O68" s="129"/>
      <c r="P68" s="135"/>
      <c r="Q68" s="136"/>
      <c r="R68" s="129"/>
    </row>
    <row r="69" spans="2:18" ht="19.5" thickBot="1">
      <c r="B69" s="151"/>
      <c r="C69" s="18" t="s">
        <v>76</v>
      </c>
      <c r="D69" s="132"/>
      <c r="E69" s="132"/>
      <c r="F69" s="127">
        <f>SUM(F59:F68)</f>
        <v>0</v>
      </c>
      <c r="G69" s="132"/>
      <c r="H69" s="132"/>
      <c r="I69" s="127">
        <f>SUM(I59:I68)</f>
        <v>7.75</v>
      </c>
      <c r="J69" s="132"/>
      <c r="K69" s="132"/>
      <c r="L69" s="127">
        <f>SUM(L59:L68)</f>
        <v>0</v>
      </c>
      <c r="M69" s="132"/>
      <c r="N69" s="132"/>
      <c r="O69" s="127">
        <f>SUM(O59:O68)</f>
        <v>7.75</v>
      </c>
      <c r="P69" s="132"/>
      <c r="Q69" s="132"/>
      <c r="R69" s="127">
        <f>SUM(R59:R68)</f>
        <v>0</v>
      </c>
    </row>
    <row r="70" spans="2:18">
      <c r="B70" s="124"/>
      <c r="C70" s="125"/>
      <c r="F70" s="125"/>
      <c r="I70" s="125"/>
      <c r="L70" s="125"/>
      <c r="O70" s="125"/>
      <c r="R70" s="125"/>
    </row>
    <row r="71" spans="2:18">
      <c r="B71" s="124"/>
      <c r="C71" s="125"/>
      <c r="F71" s="125"/>
      <c r="I71" s="125"/>
      <c r="L71" s="125"/>
      <c r="O71" s="125"/>
      <c r="R71" s="125"/>
    </row>
    <row r="72" spans="2:18">
      <c r="B72" s="124"/>
      <c r="C72" s="125"/>
      <c r="F72" s="125"/>
      <c r="I72" s="125"/>
      <c r="L72" s="125"/>
      <c r="O72" s="125"/>
      <c r="R72" s="125"/>
    </row>
    <row r="74" spans="2:18">
      <c r="C74" s="137" t="s">
        <v>931</v>
      </c>
      <c r="D74" t="s">
        <v>932</v>
      </c>
    </row>
    <row r="75" spans="2:18">
      <c r="C75" s="137"/>
      <c r="D75" t="s">
        <v>933</v>
      </c>
    </row>
    <row r="76" spans="2:18">
      <c r="C76" s="137"/>
      <c r="D76" t="s">
        <v>934</v>
      </c>
    </row>
    <row r="77" spans="2:18">
      <c r="C77" s="137"/>
      <c r="D77" t="s">
        <v>930</v>
      </c>
    </row>
  </sheetData>
  <mergeCells count="337"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  <mergeCell ref="Q2:Q3"/>
    <mergeCell ref="R2:R3"/>
    <mergeCell ref="B4:B14"/>
    <mergeCell ref="C4:C8"/>
    <mergeCell ref="D4:E4"/>
    <mergeCell ref="G4:H4"/>
    <mergeCell ref="J4:K4"/>
    <mergeCell ref="M4:N4"/>
    <mergeCell ref="P4:Q4"/>
    <mergeCell ref="D5:E5"/>
    <mergeCell ref="K2:K3"/>
    <mergeCell ref="L2:L3"/>
    <mergeCell ref="M2:M3"/>
    <mergeCell ref="N2:N3"/>
    <mergeCell ref="O2:O3"/>
    <mergeCell ref="P2:P3"/>
    <mergeCell ref="G5:H5"/>
    <mergeCell ref="J5:K5"/>
    <mergeCell ref="M5:N5"/>
    <mergeCell ref="P5:Q5"/>
    <mergeCell ref="D6:E6"/>
    <mergeCell ref="G6:H6"/>
    <mergeCell ref="J6:K6"/>
    <mergeCell ref="M6:N6"/>
    <mergeCell ref="P6:Q6"/>
    <mergeCell ref="D7:E7"/>
    <mergeCell ref="G7:H7"/>
    <mergeCell ref="J7:K7"/>
    <mergeCell ref="M7:N7"/>
    <mergeCell ref="P7:Q7"/>
    <mergeCell ref="D8:E8"/>
    <mergeCell ref="G8:H8"/>
    <mergeCell ref="J8:K8"/>
    <mergeCell ref="M8:N8"/>
    <mergeCell ref="P8:Q8"/>
    <mergeCell ref="P10:Q10"/>
    <mergeCell ref="D11:E11"/>
    <mergeCell ref="G11:H11"/>
    <mergeCell ref="J11:K11"/>
    <mergeCell ref="M11:N11"/>
    <mergeCell ref="P11:Q11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2:E12"/>
    <mergeCell ref="G12:H12"/>
    <mergeCell ref="J12:K12"/>
    <mergeCell ref="M12:N12"/>
    <mergeCell ref="P12:Q12"/>
    <mergeCell ref="D13:E13"/>
    <mergeCell ref="G13:H13"/>
    <mergeCell ref="J13:K13"/>
    <mergeCell ref="M13:N13"/>
    <mergeCell ref="P13:Q13"/>
    <mergeCell ref="P15:Q15"/>
    <mergeCell ref="D16:E16"/>
    <mergeCell ref="G16:H16"/>
    <mergeCell ref="J16:K16"/>
    <mergeCell ref="M16:N16"/>
    <mergeCell ref="P16:Q16"/>
    <mergeCell ref="B15:B25"/>
    <mergeCell ref="C15:C19"/>
    <mergeCell ref="D15:E15"/>
    <mergeCell ref="G15:H15"/>
    <mergeCell ref="J15:K15"/>
    <mergeCell ref="M15:N15"/>
    <mergeCell ref="D17:E17"/>
    <mergeCell ref="G17:H17"/>
    <mergeCell ref="J17:K17"/>
    <mergeCell ref="M17:N17"/>
    <mergeCell ref="C20:C24"/>
    <mergeCell ref="D20:E20"/>
    <mergeCell ref="G20:H20"/>
    <mergeCell ref="J20:K20"/>
    <mergeCell ref="M20:N20"/>
    <mergeCell ref="P17:Q17"/>
    <mergeCell ref="D18:E18"/>
    <mergeCell ref="G18:H18"/>
    <mergeCell ref="J18:K18"/>
    <mergeCell ref="M18:N18"/>
    <mergeCell ref="P18:Q18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  <mergeCell ref="M26:N26"/>
    <mergeCell ref="P26:Q26"/>
    <mergeCell ref="D27:E27"/>
    <mergeCell ref="G27:H27"/>
    <mergeCell ref="J27:K27"/>
    <mergeCell ref="M27:N27"/>
    <mergeCell ref="P27:Q27"/>
    <mergeCell ref="D24:E24"/>
    <mergeCell ref="G24:H24"/>
    <mergeCell ref="J24:K24"/>
    <mergeCell ref="M24:N24"/>
    <mergeCell ref="P24:Q24"/>
    <mergeCell ref="D26:E26"/>
    <mergeCell ref="G26:H26"/>
    <mergeCell ref="J26:K26"/>
    <mergeCell ref="D28:E28"/>
    <mergeCell ref="G28:H28"/>
    <mergeCell ref="J28:K28"/>
    <mergeCell ref="M28:N28"/>
    <mergeCell ref="P28:Q28"/>
    <mergeCell ref="D29:E29"/>
    <mergeCell ref="G29:H29"/>
    <mergeCell ref="J29:K29"/>
    <mergeCell ref="M29:N29"/>
    <mergeCell ref="P29:Q29"/>
    <mergeCell ref="P31:Q31"/>
    <mergeCell ref="D32:E32"/>
    <mergeCell ref="G32:H32"/>
    <mergeCell ref="J32:K32"/>
    <mergeCell ref="M32:N32"/>
    <mergeCell ref="P32:Q32"/>
    <mergeCell ref="D30:E30"/>
    <mergeCell ref="G30:H30"/>
    <mergeCell ref="J30:K30"/>
    <mergeCell ref="M30:N30"/>
    <mergeCell ref="P30:Q30"/>
    <mergeCell ref="D31:E31"/>
    <mergeCell ref="G31:H31"/>
    <mergeCell ref="J31:K31"/>
    <mergeCell ref="M31:N31"/>
    <mergeCell ref="D33:E33"/>
    <mergeCell ref="G33:H33"/>
    <mergeCell ref="J33:K33"/>
    <mergeCell ref="M33:N33"/>
    <mergeCell ref="P33:Q33"/>
    <mergeCell ref="D34:E34"/>
    <mergeCell ref="G34:H34"/>
    <mergeCell ref="J34:K34"/>
    <mergeCell ref="M34:N34"/>
    <mergeCell ref="P34:Q34"/>
    <mergeCell ref="D35:E35"/>
    <mergeCell ref="G35:H35"/>
    <mergeCell ref="J35:K35"/>
    <mergeCell ref="M35:N35"/>
    <mergeCell ref="P35:Q35"/>
    <mergeCell ref="B37:B47"/>
    <mergeCell ref="C37:C41"/>
    <mergeCell ref="D37:E37"/>
    <mergeCell ref="G37:H37"/>
    <mergeCell ref="J37:K37"/>
    <mergeCell ref="C31:C35"/>
    <mergeCell ref="B26:B36"/>
    <mergeCell ref="C26:C30"/>
    <mergeCell ref="P39:Q39"/>
    <mergeCell ref="D40:E40"/>
    <mergeCell ref="G40:H40"/>
    <mergeCell ref="J40:K40"/>
    <mergeCell ref="M40:N40"/>
    <mergeCell ref="P40:Q40"/>
    <mergeCell ref="M37:N37"/>
    <mergeCell ref="P37:Q37"/>
    <mergeCell ref="D38:E38"/>
    <mergeCell ref="G38:H38"/>
    <mergeCell ref="J38:K38"/>
    <mergeCell ref="M38:N38"/>
    <mergeCell ref="P38:Q38"/>
    <mergeCell ref="C42:C46"/>
    <mergeCell ref="D42:E42"/>
    <mergeCell ref="G42:H42"/>
    <mergeCell ref="J42:K42"/>
    <mergeCell ref="M42:N42"/>
    <mergeCell ref="D39:E39"/>
    <mergeCell ref="G39:H39"/>
    <mergeCell ref="J39:K39"/>
    <mergeCell ref="M39:N39"/>
    <mergeCell ref="P42:Q42"/>
    <mergeCell ref="D43:E43"/>
    <mergeCell ref="G43:H43"/>
    <mergeCell ref="J43:K43"/>
    <mergeCell ref="M43:N43"/>
    <mergeCell ref="P43:Q43"/>
    <mergeCell ref="D41:E41"/>
    <mergeCell ref="G41:H41"/>
    <mergeCell ref="J41:K41"/>
    <mergeCell ref="M41:N41"/>
    <mergeCell ref="P41:Q41"/>
    <mergeCell ref="D44:E44"/>
    <mergeCell ref="G44:H44"/>
    <mergeCell ref="D46:E46"/>
    <mergeCell ref="G46:H46"/>
    <mergeCell ref="J46:K46"/>
    <mergeCell ref="M46:N46"/>
    <mergeCell ref="P46:Q46"/>
    <mergeCell ref="D48:E48"/>
    <mergeCell ref="G48:H48"/>
    <mergeCell ref="J48:K48"/>
    <mergeCell ref="J44:K44"/>
    <mergeCell ref="M44:N44"/>
    <mergeCell ref="P44:Q44"/>
    <mergeCell ref="D45:E45"/>
    <mergeCell ref="G45:H45"/>
    <mergeCell ref="J45:K45"/>
    <mergeCell ref="M45:N45"/>
    <mergeCell ref="P45:Q45"/>
    <mergeCell ref="M48:N48"/>
    <mergeCell ref="P48:Q48"/>
    <mergeCell ref="G51:H51"/>
    <mergeCell ref="J51:K51"/>
    <mergeCell ref="M51:N51"/>
    <mergeCell ref="P51:Q51"/>
    <mergeCell ref="D49:E49"/>
    <mergeCell ref="G49:H49"/>
    <mergeCell ref="J49:K49"/>
    <mergeCell ref="M49:N49"/>
    <mergeCell ref="P49:Q49"/>
    <mergeCell ref="P52:Q52"/>
    <mergeCell ref="C53:C57"/>
    <mergeCell ref="D53:E53"/>
    <mergeCell ref="G53:H53"/>
    <mergeCell ref="J53:K53"/>
    <mergeCell ref="M53:N53"/>
    <mergeCell ref="C48:C52"/>
    <mergeCell ref="P55:Q55"/>
    <mergeCell ref="D56:E56"/>
    <mergeCell ref="G56:H56"/>
    <mergeCell ref="J56:K56"/>
    <mergeCell ref="M56:N56"/>
    <mergeCell ref="P56:Q56"/>
    <mergeCell ref="P53:Q53"/>
    <mergeCell ref="D54:E54"/>
    <mergeCell ref="G54:H54"/>
    <mergeCell ref="J54:K54"/>
    <mergeCell ref="M54:N54"/>
    <mergeCell ref="P54:Q54"/>
    <mergeCell ref="D50:E50"/>
    <mergeCell ref="G50:H50"/>
    <mergeCell ref="J50:K50"/>
    <mergeCell ref="M50:N50"/>
    <mergeCell ref="P50:Q50"/>
    <mergeCell ref="B59:B69"/>
    <mergeCell ref="C59:C63"/>
    <mergeCell ref="D59:E59"/>
    <mergeCell ref="G59:H59"/>
    <mergeCell ref="J59:K59"/>
    <mergeCell ref="D55:E55"/>
    <mergeCell ref="G55:H55"/>
    <mergeCell ref="J55:K55"/>
    <mergeCell ref="M55:N55"/>
    <mergeCell ref="B48:B58"/>
    <mergeCell ref="M59:N59"/>
    <mergeCell ref="D61:E61"/>
    <mergeCell ref="G61:H61"/>
    <mergeCell ref="J61:K61"/>
    <mergeCell ref="M61:N61"/>
    <mergeCell ref="D68:E68"/>
    <mergeCell ref="G68:H68"/>
    <mergeCell ref="J68:K68"/>
    <mergeCell ref="M68:N68"/>
    <mergeCell ref="D52:E52"/>
    <mergeCell ref="G52:H52"/>
    <mergeCell ref="J52:K52"/>
    <mergeCell ref="M52:N52"/>
    <mergeCell ref="D51:E51"/>
    <mergeCell ref="P59:Q59"/>
    <mergeCell ref="D60:E60"/>
    <mergeCell ref="G60:H60"/>
    <mergeCell ref="J60:K60"/>
    <mergeCell ref="M60:N60"/>
    <mergeCell ref="P60:Q60"/>
    <mergeCell ref="D57:E57"/>
    <mergeCell ref="G57:H57"/>
    <mergeCell ref="J57:K57"/>
    <mergeCell ref="M57:N57"/>
    <mergeCell ref="P57:Q57"/>
    <mergeCell ref="P61:Q61"/>
    <mergeCell ref="D62:E62"/>
    <mergeCell ref="G62:H62"/>
    <mergeCell ref="J62:K62"/>
    <mergeCell ref="M62:N62"/>
    <mergeCell ref="P62:Q62"/>
    <mergeCell ref="P64:Q64"/>
    <mergeCell ref="D65:E65"/>
    <mergeCell ref="G65:H65"/>
    <mergeCell ref="J65:K65"/>
    <mergeCell ref="M65:N65"/>
    <mergeCell ref="P65:Q65"/>
    <mergeCell ref="D63:E63"/>
    <mergeCell ref="G63:H63"/>
    <mergeCell ref="J63:K63"/>
    <mergeCell ref="M63:N63"/>
    <mergeCell ref="P63:Q63"/>
    <mergeCell ref="D64:E64"/>
    <mergeCell ref="G64:H64"/>
    <mergeCell ref="J64:K64"/>
    <mergeCell ref="M64:N64"/>
    <mergeCell ref="P68:Q68"/>
    <mergeCell ref="C74:C77"/>
    <mergeCell ref="D66:E66"/>
    <mergeCell ref="G66:H66"/>
    <mergeCell ref="J66:K66"/>
    <mergeCell ref="M66:N66"/>
    <mergeCell ref="P66:Q66"/>
    <mergeCell ref="D67:E67"/>
    <mergeCell ref="G67:H67"/>
    <mergeCell ref="J67:K67"/>
    <mergeCell ref="M67:N67"/>
    <mergeCell ref="P67:Q67"/>
    <mergeCell ref="C64:C68"/>
  </mergeCells>
  <phoneticPr fontId="1"/>
  <pageMargins left="0.70866141732283472" right="0.70866141732283472" top="0.74803149606299213" bottom="0.74803149606299213" header="0.31496062992125984" footer="0.31496062992125984"/>
  <pageSetup paperSize="8" scale="56" fitToHeight="0" orientation="landscape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9D48-43D2-4A3F-9A86-E4507DED4D78}">
  <sheetPr>
    <pageSetUpPr fitToPage="1"/>
  </sheetPr>
  <dimension ref="B1:S77"/>
  <sheetViews>
    <sheetView view="pageBreakPreview" zoomScale="70" zoomScaleNormal="70" zoomScaleSheetLayoutView="70" workbookViewId="0">
      <selection activeCell="D37" sqref="D37:F46"/>
    </sheetView>
  </sheetViews>
  <sheetFormatPr defaultRowHeight="18.75"/>
  <cols>
    <col min="1" max="1" width="2.5" customWidth="1"/>
    <col min="4" max="18" width="16" customWidth="1"/>
  </cols>
  <sheetData>
    <row r="1" spans="2:19" ht="24.75" thickBot="1">
      <c r="D1" s="53">
        <v>46097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19" s="5" customFormat="1">
      <c r="B2" s="201"/>
      <c r="C2" s="202"/>
      <c r="D2" s="205">
        <f>D1</f>
        <v>46097</v>
      </c>
      <c r="E2" s="195" t="s">
        <v>3</v>
      </c>
      <c r="F2" s="191" t="s">
        <v>4</v>
      </c>
      <c r="G2" s="197">
        <f>D2+1</f>
        <v>46098</v>
      </c>
      <c r="H2" s="195" t="s">
        <v>5</v>
      </c>
      <c r="I2" s="191" t="s">
        <v>4</v>
      </c>
      <c r="J2" s="197">
        <f>G2+1</f>
        <v>46099</v>
      </c>
      <c r="K2" s="195" t="s">
        <v>6</v>
      </c>
      <c r="L2" s="191" t="s">
        <v>4</v>
      </c>
      <c r="M2" s="197">
        <f>J2+1</f>
        <v>46100</v>
      </c>
      <c r="N2" s="195" t="s">
        <v>7</v>
      </c>
      <c r="O2" s="191" t="s">
        <v>4</v>
      </c>
      <c r="P2" s="197">
        <f>M2+1</f>
        <v>46101</v>
      </c>
      <c r="Q2" s="195" t="s">
        <v>8</v>
      </c>
      <c r="R2" s="191" t="s">
        <v>4</v>
      </c>
    </row>
    <row r="3" spans="2:19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19" ht="18.75" customHeight="1">
      <c r="B4" s="149" t="s">
        <v>32</v>
      </c>
      <c r="C4" s="138" t="s">
        <v>9</v>
      </c>
      <c r="D4" s="193" t="s">
        <v>928</v>
      </c>
      <c r="E4" s="194"/>
      <c r="F4" s="75">
        <v>0.5</v>
      </c>
      <c r="G4" s="193" t="s">
        <v>928</v>
      </c>
      <c r="H4" s="194"/>
      <c r="I4" s="75">
        <v>0.5</v>
      </c>
      <c r="J4" s="193" t="s">
        <v>928</v>
      </c>
      <c r="K4" s="194"/>
      <c r="L4" s="75">
        <v>0.5</v>
      </c>
      <c r="M4" s="193" t="s">
        <v>928</v>
      </c>
      <c r="N4" s="194"/>
      <c r="O4" s="75">
        <v>0.5</v>
      </c>
      <c r="P4" s="193"/>
      <c r="Q4" s="194"/>
      <c r="R4" s="75"/>
      <c r="S4" s="95"/>
    </row>
    <row r="5" spans="2:19">
      <c r="B5" s="150"/>
      <c r="C5" s="139"/>
      <c r="D5" s="183" t="s">
        <v>950</v>
      </c>
      <c r="E5" s="184"/>
      <c r="F5" s="32">
        <v>0.5</v>
      </c>
      <c r="G5" s="183" t="s">
        <v>950</v>
      </c>
      <c r="H5" s="184"/>
      <c r="I5" s="32">
        <v>0.5</v>
      </c>
      <c r="J5" s="183" t="s">
        <v>950</v>
      </c>
      <c r="K5" s="184"/>
      <c r="L5" s="32">
        <v>0.5</v>
      </c>
      <c r="M5" s="183" t="s">
        <v>950</v>
      </c>
      <c r="N5" s="184"/>
      <c r="O5" s="32">
        <v>0.5</v>
      </c>
      <c r="P5" s="183"/>
      <c r="Q5" s="184"/>
      <c r="R5" s="111"/>
      <c r="S5" s="95"/>
    </row>
    <row r="6" spans="2:19">
      <c r="B6" s="150"/>
      <c r="C6" s="139"/>
      <c r="D6" s="147" t="s">
        <v>1025</v>
      </c>
      <c r="E6" s="148"/>
      <c r="F6" s="111">
        <v>1.5</v>
      </c>
      <c r="G6" s="147" t="s">
        <v>1026</v>
      </c>
      <c r="H6" s="148"/>
      <c r="I6" s="111">
        <v>2</v>
      </c>
      <c r="J6" s="147" t="s">
        <v>1027</v>
      </c>
      <c r="K6" s="148"/>
      <c r="L6" s="111">
        <v>2</v>
      </c>
      <c r="M6" s="185" t="s">
        <v>750</v>
      </c>
      <c r="N6" s="186"/>
      <c r="O6" s="32">
        <v>1</v>
      </c>
      <c r="P6" s="147"/>
      <c r="Q6" s="148"/>
      <c r="R6" s="111"/>
      <c r="S6" s="95"/>
    </row>
    <row r="7" spans="2:19">
      <c r="B7" s="150"/>
      <c r="C7" s="139"/>
      <c r="D7" s="187"/>
      <c r="E7" s="182"/>
      <c r="F7" s="111"/>
      <c r="G7" s="187"/>
      <c r="H7" s="182"/>
      <c r="I7" s="111"/>
      <c r="J7" s="187"/>
      <c r="K7" s="182"/>
      <c r="L7" s="111"/>
      <c r="M7" s="187"/>
      <c r="N7" s="182"/>
      <c r="O7" s="111"/>
      <c r="P7" s="188"/>
      <c r="Q7" s="148"/>
      <c r="R7" s="111"/>
      <c r="S7" s="8"/>
    </row>
    <row r="8" spans="2:19" ht="19.5" thickBot="1">
      <c r="B8" s="150"/>
      <c r="C8" s="140"/>
      <c r="D8" s="189" t="s">
        <v>957</v>
      </c>
      <c r="E8" s="190"/>
      <c r="F8" s="120">
        <v>0.5</v>
      </c>
      <c r="G8" s="189"/>
      <c r="H8" s="190"/>
      <c r="I8" s="120"/>
      <c r="J8" s="189" t="s">
        <v>957</v>
      </c>
      <c r="K8" s="190"/>
      <c r="L8" s="120"/>
      <c r="M8" s="189" t="s">
        <v>937</v>
      </c>
      <c r="N8" s="190"/>
      <c r="O8" s="120">
        <v>1</v>
      </c>
      <c r="P8" s="189"/>
      <c r="Q8" s="190"/>
      <c r="R8" s="120"/>
      <c r="S8" s="96"/>
    </row>
    <row r="9" spans="2:19" ht="18.75" customHeight="1">
      <c r="B9" s="150"/>
      <c r="C9" s="138" t="s">
        <v>20</v>
      </c>
      <c r="D9" s="147" t="s">
        <v>1028</v>
      </c>
      <c r="E9" s="148"/>
      <c r="F9" s="111">
        <v>1.25</v>
      </c>
      <c r="G9" s="181" t="s">
        <v>1029</v>
      </c>
      <c r="H9" s="182"/>
      <c r="I9" s="111">
        <v>3.25</v>
      </c>
      <c r="J9" s="147" t="s">
        <v>1029</v>
      </c>
      <c r="K9" s="148"/>
      <c r="L9" s="111">
        <v>3.25</v>
      </c>
      <c r="M9" s="147" t="s">
        <v>1029</v>
      </c>
      <c r="N9" s="148"/>
      <c r="O9" s="111">
        <v>3.25</v>
      </c>
      <c r="P9" s="147"/>
      <c r="Q9" s="148"/>
      <c r="R9" s="111"/>
      <c r="S9" s="11"/>
    </row>
    <row r="10" spans="2:19" ht="18.75" customHeight="1">
      <c r="B10" s="150"/>
      <c r="C10" s="139"/>
      <c r="D10" s="147" t="s">
        <v>1030</v>
      </c>
      <c r="E10" s="148"/>
      <c r="F10" s="111">
        <v>2</v>
      </c>
      <c r="G10" s="147"/>
      <c r="H10" s="148"/>
      <c r="I10" s="111"/>
      <c r="J10" s="147"/>
      <c r="K10" s="148"/>
      <c r="L10" s="111"/>
      <c r="M10" s="147"/>
      <c r="N10" s="148"/>
      <c r="O10" s="111"/>
      <c r="P10" s="147"/>
      <c r="Q10" s="148"/>
      <c r="R10" s="111"/>
      <c r="S10" s="11"/>
    </row>
    <row r="11" spans="2:19" ht="18.75" customHeight="1">
      <c r="B11" s="150"/>
      <c r="C11" s="139"/>
      <c r="D11" s="147"/>
      <c r="E11" s="148"/>
      <c r="F11" s="111"/>
      <c r="G11" s="147"/>
      <c r="H11" s="148"/>
      <c r="I11" s="111"/>
      <c r="J11" s="147"/>
      <c r="K11" s="148"/>
      <c r="L11" s="111"/>
      <c r="M11" s="147"/>
      <c r="N11" s="148"/>
      <c r="O11" s="111"/>
      <c r="P11" s="147"/>
      <c r="Q11" s="148"/>
      <c r="R11" s="111"/>
      <c r="S11" s="96"/>
    </row>
    <row r="12" spans="2:19" ht="18.75" customHeight="1">
      <c r="B12" s="150"/>
      <c r="C12" s="139"/>
      <c r="D12" s="183" t="s">
        <v>848</v>
      </c>
      <c r="E12" s="184"/>
      <c r="F12" s="111">
        <v>0.5</v>
      </c>
      <c r="G12" s="183" t="s">
        <v>848</v>
      </c>
      <c r="H12" s="184"/>
      <c r="I12" s="111">
        <v>0.5</v>
      </c>
      <c r="J12" s="183" t="s">
        <v>848</v>
      </c>
      <c r="K12" s="184"/>
      <c r="L12" s="111">
        <v>0.5</v>
      </c>
      <c r="M12" s="185" t="s">
        <v>848</v>
      </c>
      <c r="N12" s="186"/>
      <c r="O12" s="111">
        <v>0.5</v>
      </c>
      <c r="P12" s="183"/>
      <c r="Q12" s="184"/>
      <c r="R12" s="111"/>
      <c r="S12" s="96"/>
    </row>
    <row r="13" spans="2:19" ht="19.5" customHeight="1" thickBot="1">
      <c r="B13" s="150"/>
      <c r="C13" s="140"/>
      <c r="D13" s="178" t="s">
        <v>948</v>
      </c>
      <c r="E13" s="179"/>
      <c r="F13" s="59">
        <v>1</v>
      </c>
      <c r="G13" s="178" t="s">
        <v>949</v>
      </c>
      <c r="H13" s="179"/>
      <c r="I13" s="59">
        <v>1</v>
      </c>
      <c r="J13" s="178" t="s">
        <v>949</v>
      </c>
      <c r="K13" s="179"/>
      <c r="L13" s="59">
        <v>1</v>
      </c>
      <c r="M13" s="178" t="s">
        <v>949</v>
      </c>
      <c r="N13" s="179"/>
      <c r="O13" s="59">
        <v>1</v>
      </c>
      <c r="P13" s="178"/>
      <c r="Q13" s="179"/>
      <c r="R13" s="59"/>
    </row>
    <row r="14" spans="2:19" ht="19.5" thickBot="1">
      <c r="B14" s="151"/>
      <c r="C14" s="18" t="s">
        <v>76</v>
      </c>
      <c r="D14" s="132"/>
      <c r="E14" s="132"/>
      <c r="F14" s="127">
        <f>SUM(F4:F13)</f>
        <v>7.75</v>
      </c>
      <c r="G14" s="132"/>
      <c r="H14" s="132"/>
      <c r="I14" s="127">
        <f>SUM(I4:I13)</f>
        <v>7.75</v>
      </c>
      <c r="J14" s="132"/>
      <c r="K14" s="132"/>
      <c r="L14" s="127">
        <f>SUM(L4:L13)</f>
        <v>7.75</v>
      </c>
      <c r="M14" s="132"/>
      <c r="N14" s="132"/>
      <c r="O14" s="127">
        <f>SUM(O4:O13)</f>
        <v>7.75</v>
      </c>
      <c r="P14" s="132"/>
      <c r="Q14" s="132"/>
      <c r="R14" s="127">
        <f>SUM(R4:R13)</f>
        <v>0</v>
      </c>
    </row>
    <row r="15" spans="2:19" ht="18.75" customHeight="1">
      <c r="B15" s="149" t="s">
        <v>65</v>
      </c>
      <c r="C15" s="138" t="s">
        <v>9</v>
      </c>
      <c r="D15" s="143" t="s">
        <v>1039</v>
      </c>
      <c r="E15" s="144"/>
      <c r="F15" s="128">
        <v>0.5</v>
      </c>
      <c r="G15" s="166" t="s">
        <v>962</v>
      </c>
      <c r="H15" s="142"/>
      <c r="I15" s="128">
        <v>2.25</v>
      </c>
      <c r="J15" s="177" t="s">
        <v>671</v>
      </c>
      <c r="K15" s="136"/>
      <c r="L15" s="128">
        <v>0.5</v>
      </c>
      <c r="M15" s="177" t="s">
        <v>1014</v>
      </c>
      <c r="N15" s="136"/>
      <c r="O15" s="128">
        <v>1</v>
      </c>
      <c r="P15" s="180"/>
      <c r="Q15" s="144"/>
      <c r="R15" s="128"/>
    </row>
    <row r="16" spans="2:19" ht="18.75" customHeight="1">
      <c r="B16" s="150"/>
      <c r="C16" s="139"/>
      <c r="D16" s="135" t="s">
        <v>997</v>
      </c>
      <c r="E16" s="136"/>
      <c r="F16" s="129">
        <v>0.75</v>
      </c>
      <c r="G16" s="177" t="s">
        <v>966</v>
      </c>
      <c r="H16" s="136"/>
      <c r="I16" s="129">
        <v>0.75</v>
      </c>
      <c r="J16" s="177" t="s">
        <v>997</v>
      </c>
      <c r="K16" s="136"/>
      <c r="L16" s="129">
        <v>0.5</v>
      </c>
      <c r="M16" s="177" t="s">
        <v>997</v>
      </c>
      <c r="N16" s="136"/>
      <c r="O16" s="129">
        <v>1</v>
      </c>
      <c r="P16" s="177"/>
      <c r="Q16" s="136"/>
      <c r="R16" s="129"/>
    </row>
    <row r="17" spans="2:18" ht="18.75" customHeight="1">
      <c r="B17" s="150"/>
      <c r="C17" s="139"/>
      <c r="D17" s="135" t="s">
        <v>1016</v>
      </c>
      <c r="E17" s="136"/>
      <c r="F17" s="129">
        <v>1.25</v>
      </c>
      <c r="G17" s="166"/>
      <c r="H17" s="142"/>
      <c r="I17" s="129"/>
      <c r="J17" s="177" t="s">
        <v>966</v>
      </c>
      <c r="K17" s="136"/>
      <c r="L17" s="129">
        <v>1</v>
      </c>
      <c r="M17" s="177" t="s">
        <v>1016</v>
      </c>
      <c r="N17" s="136"/>
      <c r="O17" s="129">
        <v>1.25</v>
      </c>
      <c r="P17" s="177"/>
      <c r="Q17" s="136"/>
      <c r="R17" s="129"/>
    </row>
    <row r="18" spans="2:18" ht="18.75" customHeight="1">
      <c r="B18" s="150"/>
      <c r="C18" s="139"/>
      <c r="D18" s="141" t="s">
        <v>1001</v>
      </c>
      <c r="E18" s="142"/>
      <c r="F18" s="129">
        <v>1.75</v>
      </c>
      <c r="G18" s="177"/>
      <c r="H18" s="136"/>
      <c r="I18" s="130"/>
      <c r="J18" s="177" t="s">
        <v>1019</v>
      </c>
      <c r="K18" s="136"/>
      <c r="L18" s="130">
        <v>0.5</v>
      </c>
      <c r="M18" s="177" t="s">
        <v>1018</v>
      </c>
      <c r="N18" s="136"/>
      <c r="O18" s="130">
        <v>0.75</v>
      </c>
      <c r="P18" s="177"/>
      <c r="Q18" s="136"/>
      <c r="R18" s="130"/>
    </row>
    <row r="19" spans="2:18" ht="19.5" customHeight="1" thickBot="1">
      <c r="B19" s="150"/>
      <c r="C19" s="140"/>
      <c r="D19" s="145"/>
      <c r="E19" s="146"/>
      <c r="F19" s="131"/>
      <c r="G19" s="176"/>
      <c r="H19" s="146"/>
      <c r="I19" s="131"/>
      <c r="J19" s="176" t="s">
        <v>963</v>
      </c>
      <c r="K19" s="146"/>
      <c r="L19" s="131">
        <v>0.5</v>
      </c>
      <c r="M19" s="176"/>
      <c r="N19" s="146"/>
      <c r="O19" s="131"/>
      <c r="P19" s="176"/>
      <c r="Q19" s="146"/>
      <c r="R19" s="131"/>
    </row>
    <row r="20" spans="2:18" ht="18.75" customHeight="1">
      <c r="B20" s="150"/>
      <c r="C20" s="138" t="s">
        <v>20</v>
      </c>
      <c r="D20" s="143" t="s">
        <v>966</v>
      </c>
      <c r="E20" s="144"/>
      <c r="F20" s="128">
        <v>0.75</v>
      </c>
      <c r="G20" s="177" t="s">
        <v>962</v>
      </c>
      <c r="H20" s="136"/>
      <c r="I20" s="129">
        <v>3.5</v>
      </c>
      <c r="J20" s="177"/>
      <c r="K20" s="136"/>
      <c r="L20" s="129"/>
      <c r="M20" s="177" t="s">
        <v>966</v>
      </c>
      <c r="N20" s="136"/>
      <c r="O20" s="129">
        <v>1</v>
      </c>
      <c r="P20" s="177"/>
      <c r="Q20" s="136"/>
      <c r="R20" s="129"/>
    </row>
    <row r="21" spans="2:18" ht="18.75" customHeight="1">
      <c r="B21" s="150"/>
      <c r="C21" s="139"/>
      <c r="D21" s="135" t="s">
        <v>1020</v>
      </c>
      <c r="E21" s="136"/>
      <c r="F21" s="129">
        <v>1.5</v>
      </c>
      <c r="G21" s="166"/>
      <c r="H21" s="142"/>
      <c r="I21" s="129"/>
      <c r="J21" s="177" t="s">
        <v>1021</v>
      </c>
      <c r="K21" s="136"/>
      <c r="L21" s="129">
        <v>3</v>
      </c>
      <c r="M21" s="177" t="s">
        <v>1022</v>
      </c>
      <c r="N21" s="136"/>
      <c r="O21" s="129">
        <v>1.5</v>
      </c>
      <c r="P21" s="177"/>
      <c r="Q21" s="136"/>
      <c r="R21" s="129"/>
    </row>
    <row r="22" spans="2:18" ht="18.75" customHeight="1">
      <c r="B22" s="150"/>
      <c r="C22" s="139"/>
      <c r="D22" s="135" t="s">
        <v>1023</v>
      </c>
      <c r="E22" s="136"/>
      <c r="F22" s="129">
        <v>0.5</v>
      </c>
      <c r="G22" s="166" t="s">
        <v>1023</v>
      </c>
      <c r="H22" s="142"/>
      <c r="I22" s="129">
        <v>0.5</v>
      </c>
      <c r="J22" s="177" t="s">
        <v>1023</v>
      </c>
      <c r="K22" s="136"/>
      <c r="L22" s="129">
        <v>0.5</v>
      </c>
      <c r="M22" s="177" t="s">
        <v>1023</v>
      </c>
      <c r="N22" s="136"/>
      <c r="O22" s="129">
        <v>0.5</v>
      </c>
      <c r="P22" s="177"/>
      <c r="Q22" s="136"/>
      <c r="R22" s="129"/>
    </row>
    <row r="23" spans="2:18" ht="18.75" customHeight="1">
      <c r="B23" s="150"/>
      <c r="C23" s="139"/>
      <c r="D23" s="135" t="s">
        <v>954</v>
      </c>
      <c r="E23" s="136"/>
      <c r="F23" s="129">
        <v>0.75</v>
      </c>
      <c r="G23" s="177" t="s">
        <v>954</v>
      </c>
      <c r="H23" s="136"/>
      <c r="I23" s="129">
        <v>0.75</v>
      </c>
      <c r="J23" s="177" t="s">
        <v>954</v>
      </c>
      <c r="K23" s="136"/>
      <c r="L23" s="129">
        <v>0.75</v>
      </c>
      <c r="M23" s="177" t="s">
        <v>954</v>
      </c>
      <c r="N23" s="136"/>
      <c r="O23" s="129">
        <v>0.75</v>
      </c>
      <c r="P23" s="177"/>
      <c r="Q23" s="136"/>
      <c r="R23" s="129"/>
    </row>
    <row r="24" spans="2:18" ht="19.5" customHeight="1" thickBot="1">
      <c r="B24" s="150"/>
      <c r="C24" s="140"/>
      <c r="D24" s="135" t="s">
        <v>110</v>
      </c>
      <c r="E24" s="136"/>
      <c r="F24" s="129"/>
      <c r="G24" s="176" t="s">
        <v>110</v>
      </c>
      <c r="H24" s="146"/>
      <c r="I24" s="131"/>
      <c r="J24" s="176" t="s">
        <v>110</v>
      </c>
      <c r="K24" s="146"/>
      <c r="L24" s="131"/>
      <c r="M24" s="176" t="s">
        <v>110</v>
      </c>
      <c r="N24" s="146"/>
      <c r="O24" s="131"/>
      <c r="P24" s="176"/>
      <c r="Q24" s="146"/>
      <c r="R24" s="131"/>
    </row>
    <row r="25" spans="2:18" ht="19.5" thickBot="1">
      <c r="B25" s="151"/>
      <c r="C25" s="18" t="s">
        <v>76</v>
      </c>
      <c r="D25" s="132"/>
      <c r="E25" s="132"/>
      <c r="F25" s="127">
        <f>SUM(F15:F24)</f>
        <v>7.75</v>
      </c>
      <c r="G25" s="132"/>
      <c r="H25" s="132"/>
      <c r="I25" s="127">
        <f>SUM(I15:I24)</f>
        <v>7.75</v>
      </c>
      <c r="J25" s="132"/>
      <c r="K25" s="132"/>
      <c r="L25" s="127">
        <f>SUM(L15:L24)</f>
        <v>7.25</v>
      </c>
      <c r="M25" s="132"/>
      <c r="N25" s="132"/>
      <c r="O25" s="127">
        <f>SUM(O15:O24)</f>
        <v>7.75</v>
      </c>
      <c r="P25" s="132"/>
      <c r="Q25" s="132"/>
      <c r="R25" s="127">
        <f>SUM(R15:R24)</f>
        <v>0</v>
      </c>
    </row>
    <row r="26" spans="2:18" ht="18.75" customHeight="1">
      <c r="B26" s="149" t="s">
        <v>938</v>
      </c>
      <c r="C26" s="138" t="s">
        <v>9</v>
      </c>
      <c r="D26" s="143"/>
      <c r="E26" s="144"/>
      <c r="F26" s="128"/>
      <c r="G26" s="156" t="s">
        <v>946</v>
      </c>
      <c r="H26" s="153"/>
      <c r="I26" s="6">
        <v>1.5</v>
      </c>
      <c r="J26" s="156" t="s">
        <v>946</v>
      </c>
      <c r="K26" s="153"/>
      <c r="L26" s="6">
        <v>1.5</v>
      </c>
      <c r="M26" s="156" t="s">
        <v>947</v>
      </c>
      <c r="N26" s="153"/>
      <c r="O26" s="6">
        <v>1.5</v>
      </c>
      <c r="P26" s="180"/>
      <c r="Q26" s="144"/>
      <c r="R26" s="128"/>
    </row>
    <row r="27" spans="2:18" ht="18.75" customHeight="1">
      <c r="B27" s="150"/>
      <c r="C27" s="139"/>
      <c r="D27" s="135"/>
      <c r="E27" s="136"/>
      <c r="F27" s="129"/>
      <c r="G27" s="175" t="s">
        <v>990</v>
      </c>
      <c r="H27" s="168"/>
      <c r="I27" s="7">
        <v>0.1</v>
      </c>
      <c r="J27" s="175" t="s">
        <v>941</v>
      </c>
      <c r="K27" s="168"/>
      <c r="L27" s="7">
        <v>0.1</v>
      </c>
      <c r="M27" s="175" t="s">
        <v>941</v>
      </c>
      <c r="N27" s="168"/>
      <c r="O27" s="7">
        <v>0.1</v>
      </c>
      <c r="P27" s="177"/>
      <c r="Q27" s="136"/>
      <c r="R27" s="129"/>
    </row>
    <row r="28" spans="2:18" ht="18.75" customHeight="1">
      <c r="B28" s="150"/>
      <c r="C28" s="139"/>
      <c r="D28" s="135"/>
      <c r="E28" s="136"/>
      <c r="F28" s="129"/>
      <c r="G28" s="167" t="s">
        <v>991</v>
      </c>
      <c r="H28" s="168"/>
      <c r="I28" s="12">
        <v>0.9</v>
      </c>
      <c r="J28" s="167" t="s">
        <v>991</v>
      </c>
      <c r="K28" s="168"/>
      <c r="L28" s="12">
        <v>1</v>
      </c>
      <c r="M28" s="174" t="s">
        <v>1024</v>
      </c>
      <c r="N28" s="165"/>
      <c r="O28" s="116">
        <v>1</v>
      </c>
      <c r="P28" s="177"/>
      <c r="Q28" s="136"/>
      <c r="R28" s="129"/>
    </row>
    <row r="29" spans="2:18" ht="18.75" customHeight="1">
      <c r="B29" s="150"/>
      <c r="C29" s="139"/>
      <c r="D29" s="141"/>
      <c r="E29" s="142"/>
      <c r="F29" s="129"/>
      <c r="G29" s="167"/>
      <c r="H29" s="168"/>
      <c r="I29" s="12"/>
      <c r="J29" s="166"/>
      <c r="K29" s="142"/>
      <c r="L29" s="12"/>
      <c r="M29" s="174" t="s">
        <v>992</v>
      </c>
      <c r="N29" s="165"/>
      <c r="O29" s="116">
        <v>1.5</v>
      </c>
      <c r="P29" s="207"/>
      <c r="Q29" s="208"/>
      <c r="R29" s="133"/>
    </row>
    <row r="30" spans="2:18" ht="19.5" customHeight="1" thickBot="1">
      <c r="B30" s="150"/>
      <c r="C30" s="140"/>
      <c r="D30" s="145"/>
      <c r="E30" s="146"/>
      <c r="F30" s="131"/>
      <c r="G30" s="172" t="s">
        <v>964</v>
      </c>
      <c r="H30" s="173"/>
      <c r="I30" s="119">
        <v>1.5</v>
      </c>
      <c r="J30" s="172" t="s">
        <v>964</v>
      </c>
      <c r="K30" s="173"/>
      <c r="L30" s="119">
        <v>1</v>
      </c>
      <c r="M30" s="161" t="s">
        <v>952</v>
      </c>
      <c r="N30" s="159"/>
      <c r="O30" s="34">
        <v>0.4</v>
      </c>
      <c r="P30" s="209"/>
      <c r="Q30" s="210"/>
      <c r="R30" s="134"/>
    </row>
    <row r="31" spans="2:18" ht="18.75" customHeight="1">
      <c r="B31" s="150"/>
      <c r="C31" s="138" t="s">
        <v>20</v>
      </c>
      <c r="D31" s="143"/>
      <c r="E31" s="144"/>
      <c r="F31" s="128"/>
      <c r="G31" s="164" t="s">
        <v>1004</v>
      </c>
      <c r="H31" s="142"/>
      <c r="I31" s="116">
        <v>1</v>
      </c>
      <c r="J31" s="164" t="s">
        <v>992</v>
      </c>
      <c r="K31" s="142"/>
      <c r="L31" s="12">
        <v>1.9</v>
      </c>
      <c r="M31" s="174" t="s">
        <v>964</v>
      </c>
      <c r="N31" s="165"/>
      <c r="O31" s="126">
        <v>1</v>
      </c>
      <c r="P31" s="177"/>
      <c r="Q31" s="136"/>
      <c r="R31" s="129"/>
    </row>
    <row r="32" spans="2:18" ht="18.75" customHeight="1">
      <c r="B32" s="150"/>
      <c r="C32" s="139"/>
      <c r="D32" s="135"/>
      <c r="E32" s="136"/>
      <c r="F32" s="129"/>
      <c r="G32" s="164" t="s">
        <v>992</v>
      </c>
      <c r="H32" s="171"/>
      <c r="I32" s="116">
        <v>1</v>
      </c>
      <c r="J32" s="166" t="s">
        <v>996</v>
      </c>
      <c r="K32" s="142"/>
      <c r="L32" s="116">
        <v>1</v>
      </c>
      <c r="M32" s="167" t="s">
        <v>960</v>
      </c>
      <c r="N32" s="168"/>
      <c r="O32" s="12">
        <v>1</v>
      </c>
      <c r="P32" s="177"/>
      <c r="Q32" s="136"/>
      <c r="R32" s="129"/>
    </row>
    <row r="33" spans="2:18" ht="18.75" customHeight="1">
      <c r="B33" s="150"/>
      <c r="C33" s="139"/>
      <c r="D33" s="135"/>
      <c r="E33" s="136"/>
      <c r="F33" s="129"/>
      <c r="G33" s="164" t="s">
        <v>996</v>
      </c>
      <c r="H33" s="165"/>
      <c r="I33" s="12">
        <v>0.5</v>
      </c>
      <c r="J33" s="166"/>
      <c r="K33" s="142"/>
      <c r="L33" s="116"/>
      <c r="M33" s="154" t="s">
        <v>943</v>
      </c>
      <c r="N33" s="155"/>
      <c r="O33" s="7"/>
      <c r="P33" s="177"/>
      <c r="Q33" s="136"/>
      <c r="R33" s="129"/>
    </row>
    <row r="34" spans="2:18" ht="18.75" customHeight="1">
      <c r="B34" s="150"/>
      <c r="C34" s="139"/>
      <c r="D34" s="135"/>
      <c r="E34" s="136"/>
      <c r="F34" s="129"/>
      <c r="G34" s="167" t="s">
        <v>944</v>
      </c>
      <c r="H34" s="168"/>
      <c r="I34" s="12">
        <v>0.5</v>
      </c>
      <c r="J34" s="167" t="s">
        <v>944</v>
      </c>
      <c r="K34" s="168"/>
      <c r="L34" s="12">
        <v>0.5</v>
      </c>
      <c r="M34" s="167" t="s">
        <v>944</v>
      </c>
      <c r="N34" s="168"/>
      <c r="O34" s="12">
        <v>0.5</v>
      </c>
      <c r="P34" s="177"/>
      <c r="Q34" s="136"/>
      <c r="R34" s="129"/>
    </row>
    <row r="35" spans="2:18" ht="19.5" customHeight="1" thickBot="1">
      <c r="B35" s="150"/>
      <c r="C35" s="140"/>
      <c r="D35" s="135"/>
      <c r="E35" s="136"/>
      <c r="F35" s="129"/>
      <c r="G35" s="161" t="s">
        <v>940</v>
      </c>
      <c r="H35" s="159"/>
      <c r="I35" s="9">
        <v>0.75</v>
      </c>
      <c r="J35" s="161" t="s">
        <v>940</v>
      </c>
      <c r="K35" s="159"/>
      <c r="L35" s="9">
        <v>0.75</v>
      </c>
      <c r="M35" s="161" t="s">
        <v>940</v>
      </c>
      <c r="N35" s="159"/>
      <c r="O35" s="9">
        <v>0.75</v>
      </c>
      <c r="P35" s="176"/>
      <c r="Q35" s="146"/>
      <c r="R35" s="131"/>
    </row>
    <row r="36" spans="2:18" ht="19.5" thickBot="1">
      <c r="B36" s="151"/>
      <c r="C36" s="18" t="s">
        <v>76</v>
      </c>
      <c r="D36" s="132"/>
      <c r="E36" s="132"/>
      <c r="F36" s="127">
        <f>SUM(F26:F35)</f>
        <v>0</v>
      </c>
      <c r="G36" s="132"/>
      <c r="H36" s="132"/>
      <c r="I36" s="127">
        <f>SUM(I26:I35)</f>
        <v>7.75</v>
      </c>
      <c r="J36" s="132"/>
      <c r="K36" s="132"/>
      <c r="L36" s="127">
        <f>SUM(L26:L35)</f>
        <v>7.75</v>
      </c>
      <c r="M36" s="132"/>
      <c r="N36" s="132"/>
      <c r="O36" s="127">
        <f>SUM(O26:O35)</f>
        <v>7.75</v>
      </c>
      <c r="P36" s="132"/>
      <c r="Q36" s="132"/>
      <c r="R36" s="127">
        <f>SUM(R26:R35)</f>
        <v>0</v>
      </c>
    </row>
    <row r="37" spans="2:18" ht="18.75" customHeight="1">
      <c r="B37" s="149" t="s">
        <v>926</v>
      </c>
      <c r="C37" s="138" t="s">
        <v>9</v>
      </c>
      <c r="D37" s="152" t="s">
        <v>927</v>
      </c>
      <c r="E37" s="153"/>
      <c r="F37" s="6">
        <v>0.5</v>
      </c>
      <c r="G37" s="143"/>
      <c r="H37" s="144"/>
      <c r="I37" s="128"/>
      <c r="J37" s="143"/>
      <c r="K37" s="144"/>
      <c r="L37" s="128"/>
      <c r="M37" s="152" t="s">
        <v>927</v>
      </c>
      <c r="N37" s="153"/>
      <c r="O37" s="6">
        <v>0.5</v>
      </c>
      <c r="P37" s="143"/>
      <c r="Q37" s="144"/>
      <c r="R37" s="128"/>
    </row>
    <row r="38" spans="2:18" ht="18.75" customHeight="1">
      <c r="B38" s="150"/>
      <c r="C38" s="139"/>
      <c r="D38" s="154" t="s">
        <v>1031</v>
      </c>
      <c r="E38" s="155"/>
      <c r="F38" s="7">
        <v>1</v>
      </c>
      <c r="G38" s="135"/>
      <c r="H38" s="136"/>
      <c r="I38" s="129"/>
      <c r="J38" s="135"/>
      <c r="K38" s="136"/>
      <c r="L38" s="129"/>
      <c r="M38" s="154" t="s">
        <v>1031</v>
      </c>
      <c r="N38" s="155"/>
      <c r="O38" s="7">
        <v>1</v>
      </c>
      <c r="P38" s="135"/>
      <c r="Q38" s="136"/>
      <c r="R38" s="129"/>
    </row>
    <row r="39" spans="2:18" ht="18.75" customHeight="1">
      <c r="B39" s="150"/>
      <c r="C39" s="139"/>
      <c r="D39" s="157" t="s">
        <v>945</v>
      </c>
      <c r="E39" s="155"/>
      <c r="F39" s="7">
        <v>0.5</v>
      </c>
      <c r="G39" s="135"/>
      <c r="H39" s="136"/>
      <c r="I39" s="129"/>
      <c r="J39" s="135"/>
      <c r="K39" s="136"/>
      <c r="L39" s="129"/>
      <c r="M39" s="157" t="s">
        <v>945</v>
      </c>
      <c r="N39" s="155"/>
      <c r="O39" s="7">
        <v>0.5</v>
      </c>
      <c r="P39" s="135"/>
      <c r="Q39" s="136"/>
      <c r="R39" s="129"/>
    </row>
    <row r="40" spans="2:18" ht="18.75" customHeight="1">
      <c r="B40" s="150"/>
      <c r="C40" s="139"/>
      <c r="D40" s="162"/>
      <c r="E40" s="163"/>
      <c r="F40" s="7"/>
      <c r="G40" s="141"/>
      <c r="H40" s="142"/>
      <c r="I40" s="129"/>
      <c r="J40" s="141"/>
      <c r="K40" s="142"/>
      <c r="L40" s="129"/>
      <c r="M40" s="162"/>
      <c r="N40" s="163"/>
      <c r="O40" s="7"/>
      <c r="P40" s="141"/>
      <c r="Q40" s="142"/>
      <c r="R40" s="129"/>
    </row>
    <row r="41" spans="2:18" ht="19.5" customHeight="1" thickBot="1">
      <c r="B41" s="150"/>
      <c r="C41" s="140"/>
      <c r="D41" s="158"/>
      <c r="E41" s="159"/>
      <c r="F41" s="9"/>
      <c r="G41" s="145"/>
      <c r="H41" s="146"/>
      <c r="I41" s="131"/>
      <c r="J41" s="145"/>
      <c r="K41" s="146"/>
      <c r="L41" s="131"/>
      <c r="M41" s="158"/>
      <c r="N41" s="159"/>
      <c r="O41" s="9"/>
      <c r="P41" s="145"/>
      <c r="Q41" s="146"/>
      <c r="R41" s="131"/>
    </row>
    <row r="42" spans="2:18" ht="18.75" customHeight="1">
      <c r="B42" s="150"/>
      <c r="C42" s="138" t="s">
        <v>20</v>
      </c>
      <c r="D42" s="156" t="s">
        <v>969</v>
      </c>
      <c r="E42" s="153"/>
      <c r="F42" s="7">
        <v>2</v>
      </c>
      <c r="G42" s="143"/>
      <c r="H42" s="144"/>
      <c r="I42" s="128"/>
      <c r="J42" s="143"/>
      <c r="K42" s="144"/>
      <c r="L42" s="128"/>
      <c r="M42" s="156" t="s">
        <v>969</v>
      </c>
      <c r="N42" s="153"/>
      <c r="O42" s="7">
        <v>3</v>
      </c>
      <c r="P42" s="143"/>
      <c r="Q42" s="144"/>
      <c r="R42" s="128"/>
    </row>
    <row r="43" spans="2:18" ht="18.75" customHeight="1">
      <c r="B43" s="150"/>
      <c r="C43" s="139"/>
      <c r="D43" s="154" t="s">
        <v>1032</v>
      </c>
      <c r="E43" s="155"/>
      <c r="F43" s="7">
        <v>1</v>
      </c>
      <c r="G43" s="135"/>
      <c r="H43" s="136"/>
      <c r="I43" s="129"/>
      <c r="J43" s="135"/>
      <c r="K43" s="136"/>
      <c r="L43" s="129"/>
      <c r="M43" s="135"/>
      <c r="N43" s="136"/>
      <c r="O43" s="129"/>
      <c r="P43" s="135"/>
      <c r="Q43" s="136"/>
      <c r="R43" s="129"/>
    </row>
    <row r="44" spans="2:18" ht="18.75" customHeight="1">
      <c r="B44" s="150"/>
      <c r="C44" s="139"/>
      <c r="D44" s="135"/>
      <c r="E44" s="136"/>
      <c r="F44" s="129"/>
      <c r="G44" s="135"/>
      <c r="H44" s="136"/>
      <c r="I44" s="129"/>
      <c r="J44" s="135"/>
      <c r="K44" s="136"/>
      <c r="L44" s="129"/>
      <c r="M44" s="177"/>
      <c r="N44" s="136"/>
      <c r="O44" s="129"/>
      <c r="P44" s="135"/>
      <c r="Q44" s="136"/>
      <c r="R44" s="129"/>
    </row>
    <row r="45" spans="2:18" ht="18.75" customHeight="1">
      <c r="B45" s="150"/>
      <c r="C45" s="139"/>
      <c r="D45" s="135"/>
      <c r="E45" s="136"/>
      <c r="F45" s="129"/>
      <c r="G45" s="135"/>
      <c r="H45" s="136"/>
      <c r="I45" s="129"/>
      <c r="J45" s="135"/>
      <c r="K45" s="136"/>
      <c r="L45" s="129"/>
      <c r="M45" s="177"/>
      <c r="N45" s="136"/>
      <c r="O45" s="129"/>
      <c r="P45" s="135"/>
      <c r="Q45" s="136"/>
      <c r="R45" s="129"/>
    </row>
    <row r="46" spans="2:18" ht="19.5" customHeight="1" thickBot="1">
      <c r="B46" s="150"/>
      <c r="C46" s="140"/>
      <c r="D46" s="135"/>
      <c r="E46" s="136"/>
      <c r="F46" s="129"/>
      <c r="G46" s="135"/>
      <c r="H46" s="136"/>
      <c r="I46" s="129"/>
      <c r="J46" s="135"/>
      <c r="K46" s="136"/>
      <c r="L46" s="129"/>
      <c r="M46" s="176"/>
      <c r="N46" s="146"/>
      <c r="O46" s="131"/>
      <c r="P46" s="135"/>
      <c r="Q46" s="136"/>
      <c r="R46" s="129"/>
    </row>
    <row r="47" spans="2:18" ht="19.5" thickBot="1">
      <c r="B47" s="151"/>
      <c r="C47" s="18" t="s">
        <v>76</v>
      </c>
      <c r="D47" s="132"/>
      <c r="E47" s="132"/>
      <c r="F47" s="127">
        <f>SUM(F37:F46)</f>
        <v>5</v>
      </c>
      <c r="G47" s="132"/>
      <c r="H47" s="132"/>
      <c r="I47" s="127">
        <f>SUM(I37:I46)</f>
        <v>0</v>
      </c>
      <c r="J47" s="132"/>
      <c r="K47" s="132"/>
      <c r="L47" s="127">
        <f>SUM(L37:L46)</f>
        <v>0</v>
      </c>
      <c r="M47" s="132"/>
      <c r="N47" s="132"/>
      <c r="O47" s="127">
        <f>SUM(O37:O46)</f>
        <v>5</v>
      </c>
      <c r="P47" s="132"/>
      <c r="Q47" s="132"/>
      <c r="R47" s="127">
        <f>SUM(R37:R46)</f>
        <v>0</v>
      </c>
    </row>
    <row r="48" spans="2:18" ht="18.75" customHeight="1">
      <c r="B48" s="149" t="s">
        <v>1012</v>
      </c>
      <c r="C48" s="138" t="s">
        <v>9</v>
      </c>
      <c r="D48" s="143"/>
      <c r="E48" s="144"/>
      <c r="F48" s="128"/>
      <c r="G48" s="152" t="s">
        <v>927</v>
      </c>
      <c r="H48" s="153"/>
      <c r="I48" s="6">
        <v>0.5</v>
      </c>
      <c r="J48" s="143"/>
      <c r="K48" s="144"/>
      <c r="L48" s="128"/>
      <c r="M48" s="152" t="s">
        <v>927</v>
      </c>
      <c r="N48" s="153"/>
      <c r="O48" s="6">
        <v>0.5</v>
      </c>
      <c r="P48" s="143"/>
      <c r="Q48" s="144"/>
      <c r="R48" s="128"/>
    </row>
    <row r="49" spans="2:18" ht="18.75" customHeight="1">
      <c r="B49" s="150"/>
      <c r="C49" s="139"/>
      <c r="D49" s="135"/>
      <c r="E49" s="136"/>
      <c r="F49" s="129"/>
      <c r="G49" s="147" t="s">
        <v>1026</v>
      </c>
      <c r="H49" s="148"/>
      <c r="I49" s="111">
        <v>2.5</v>
      </c>
      <c r="J49" s="135"/>
      <c r="K49" s="136"/>
      <c r="L49" s="129"/>
      <c r="M49" s="147" t="s">
        <v>1037</v>
      </c>
      <c r="N49" s="148"/>
      <c r="O49" s="111">
        <v>2.5</v>
      </c>
      <c r="P49" s="135"/>
      <c r="Q49" s="136"/>
      <c r="R49" s="129"/>
    </row>
    <row r="50" spans="2:18" ht="18.75" customHeight="1">
      <c r="B50" s="150"/>
      <c r="C50" s="139"/>
      <c r="D50" s="135"/>
      <c r="E50" s="136"/>
      <c r="F50" s="129"/>
      <c r="G50" s="135"/>
      <c r="H50" s="136"/>
      <c r="I50" s="129"/>
      <c r="J50" s="135"/>
      <c r="K50" s="136"/>
      <c r="L50" s="129"/>
      <c r="M50" s="135"/>
      <c r="N50" s="136"/>
      <c r="O50" s="129"/>
      <c r="P50" s="135"/>
      <c r="Q50" s="136"/>
      <c r="R50" s="129"/>
    </row>
    <row r="51" spans="2:18" ht="18.75" customHeight="1">
      <c r="B51" s="150"/>
      <c r="C51" s="139"/>
      <c r="D51" s="141"/>
      <c r="E51" s="142"/>
      <c r="F51" s="129"/>
      <c r="G51" s="141"/>
      <c r="H51" s="142"/>
      <c r="I51" s="129"/>
      <c r="J51" s="141"/>
      <c r="K51" s="142"/>
      <c r="L51" s="129"/>
      <c r="M51" s="141"/>
      <c r="N51" s="142"/>
      <c r="O51" s="129"/>
      <c r="P51" s="141"/>
      <c r="Q51" s="142"/>
      <c r="R51" s="129"/>
    </row>
    <row r="52" spans="2:18" ht="19.5" customHeight="1" thickBot="1">
      <c r="B52" s="150"/>
      <c r="C52" s="140"/>
      <c r="D52" s="145"/>
      <c r="E52" s="146"/>
      <c r="F52" s="131"/>
      <c r="G52" s="145"/>
      <c r="H52" s="146"/>
      <c r="I52" s="131"/>
      <c r="J52" s="145"/>
      <c r="K52" s="146"/>
      <c r="L52" s="131"/>
      <c r="M52" s="145"/>
      <c r="N52" s="146"/>
      <c r="O52" s="131"/>
      <c r="P52" s="145"/>
      <c r="Q52" s="146"/>
      <c r="R52" s="131"/>
    </row>
    <row r="53" spans="2:18" ht="18.75" customHeight="1">
      <c r="B53" s="150"/>
      <c r="C53" s="138" t="s">
        <v>20</v>
      </c>
      <c r="D53" s="143"/>
      <c r="E53" s="144"/>
      <c r="F53" s="128"/>
      <c r="G53" s="143" t="s">
        <v>1033</v>
      </c>
      <c r="H53" s="144"/>
      <c r="I53" s="128">
        <v>4.75</v>
      </c>
      <c r="J53" s="143"/>
      <c r="K53" s="144"/>
      <c r="L53" s="128"/>
      <c r="M53" s="147" t="s">
        <v>1037</v>
      </c>
      <c r="N53" s="148"/>
      <c r="O53" s="111">
        <v>4.75</v>
      </c>
      <c r="P53" s="143"/>
      <c r="Q53" s="144"/>
      <c r="R53" s="128"/>
    </row>
    <row r="54" spans="2:18" ht="18.75" customHeight="1">
      <c r="B54" s="150"/>
      <c r="C54" s="139"/>
      <c r="D54" s="135"/>
      <c r="E54" s="136"/>
      <c r="F54" s="129"/>
      <c r="G54" s="135" t="s">
        <v>1034</v>
      </c>
      <c r="H54" s="136"/>
      <c r="I54" s="129"/>
      <c r="J54" s="135"/>
      <c r="K54" s="136"/>
      <c r="L54" s="129"/>
      <c r="M54" s="135"/>
      <c r="N54" s="136"/>
      <c r="O54" s="129"/>
      <c r="P54" s="135"/>
      <c r="Q54" s="136"/>
      <c r="R54" s="129"/>
    </row>
    <row r="55" spans="2:18" ht="18.75" customHeight="1">
      <c r="B55" s="150"/>
      <c r="C55" s="139"/>
      <c r="D55" s="135"/>
      <c r="E55" s="136"/>
      <c r="F55" s="129"/>
      <c r="G55" s="135" t="s">
        <v>1035</v>
      </c>
      <c r="H55" s="136"/>
      <c r="I55" s="129"/>
      <c r="J55" s="135"/>
      <c r="K55" s="136"/>
      <c r="L55" s="129"/>
      <c r="M55" s="135"/>
      <c r="N55" s="136"/>
      <c r="O55" s="129"/>
      <c r="P55" s="135"/>
      <c r="Q55" s="136"/>
      <c r="R55" s="129"/>
    </row>
    <row r="56" spans="2:18" ht="18.75" customHeight="1">
      <c r="B56" s="150"/>
      <c r="C56" s="139"/>
      <c r="D56" s="135"/>
      <c r="E56" s="136"/>
      <c r="F56" s="129"/>
      <c r="G56" s="135" t="s">
        <v>1036</v>
      </c>
      <c r="H56" s="136"/>
      <c r="I56" s="129"/>
      <c r="J56" s="135"/>
      <c r="K56" s="136"/>
      <c r="L56" s="129"/>
      <c r="M56" s="135"/>
      <c r="N56" s="136"/>
      <c r="O56" s="129"/>
      <c r="P56" s="135"/>
      <c r="Q56" s="136"/>
      <c r="R56" s="129"/>
    </row>
    <row r="57" spans="2:18" ht="19.5" customHeight="1" thickBot="1">
      <c r="B57" s="150"/>
      <c r="C57" s="140"/>
      <c r="D57" s="135"/>
      <c r="E57" s="136"/>
      <c r="F57" s="129"/>
      <c r="G57" s="135"/>
      <c r="H57" s="136"/>
      <c r="I57" s="129"/>
      <c r="J57" s="135"/>
      <c r="K57" s="136"/>
      <c r="L57" s="129"/>
      <c r="M57" s="176"/>
      <c r="N57" s="146"/>
      <c r="O57" s="131"/>
      <c r="P57" s="135"/>
      <c r="Q57" s="136"/>
      <c r="R57" s="129"/>
    </row>
    <row r="58" spans="2:18" ht="19.5" thickBot="1">
      <c r="B58" s="151"/>
      <c r="C58" s="18" t="s">
        <v>76</v>
      </c>
      <c r="D58" s="132"/>
      <c r="E58" s="132"/>
      <c r="F58" s="127">
        <f>SUM(F48:F57)</f>
        <v>0</v>
      </c>
      <c r="G58" s="132"/>
      <c r="H58" s="132"/>
      <c r="I58" s="127">
        <f>SUM(I48:I57)</f>
        <v>7.75</v>
      </c>
      <c r="J58" s="132"/>
      <c r="K58" s="132"/>
      <c r="L58" s="127">
        <f>SUM(L48:L57)</f>
        <v>0</v>
      </c>
      <c r="M58" s="132"/>
      <c r="N58" s="132"/>
      <c r="O58" s="127">
        <f>SUM(O48:O57)</f>
        <v>7.75</v>
      </c>
      <c r="P58" s="132"/>
      <c r="Q58" s="132"/>
      <c r="R58" s="127">
        <f>SUM(R48:R57)</f>
        <v>0</v>
      </c>
    </row>
    <row r="59" spans="2:18" ht="18.75" customHeight="1">
      <c r="B59" s="149" t="s">
        <v>1013</v>
      </c>
      <c r="C59" s="138" t="s">
        <v>9</v>
      </c>
      <c r="D59" s="143"/>
      <c r="E59" s="144"/>
      <c r="F59" s="128"/>
      <c r="G59" s="152" t="s">
        <v>927</v>
      </c>
      <c r="H59" s="153"/>
      <c r="I59" s="6">
        <v>0.5</v>
      </c>
      <c r="J59" s="143"/>
      <c r="K59" s="144"/>
      <c r="L59" s="128"/>
      <c r="M59" s="152" t="s">
        <v>927</v>
      </c>
      <c r="N59" s="153"/>
      <c r="O59" s="6">
        <v>0.5</v>
      </c>
      <c r="P59" s="143"/>
      <c r="Q59" s="144"/>
      <c r="R59" s="128"/>
    </row>
    <row r="60" spans="2:18" ht="18.75" customHeight="1">
      <c r="B60" s="150"/>
      <c r="C60" s="139"/>
      <c r="D60" s="135"/>
      <c r="E60" s="136"/>
      <c r="F60" s="129"/>
      <c r="G60" s="147" t="s">
        <v>1026</v>
      </c>
      <c r="H60" s="148"/>
      <c r="I60" s="111">
        <v>2.5</v>
      </c>
      <c r="J60" s="135"/>
      <c r="K60" s="136"/>
      <c r="L60" s="129"/>
      <c r="M60" s="147" t="s">
        <v>1038</v>
      </c>
      <c r="N60" s="148"/>
      <c r="O60" s="111">
        <v>2.5</v>
      </c>
      <c r="P60" s="135"/>
      <c r="Q60" s="136"/>
      <c r="R60" s="129"/>
    </row>
    <row r="61" spans="2:18" ht="18.75" customHeight="1">
      <c r="B61" s="150"/>
      <c r="C61" s="139"/>
      <c r="D61" s="135"/>
      <c r="E61" s="136"/>
      <c r="F61" s="129"/>
      <c r="G61" s="135"/>
      <c r="H61" s="136"/>
      <c r="I61" s="129"/>
      <c r="J61" s="135"/>
      <c r="K61" s="136"/>
      <c r="L61" s="129"/>
      <c r="M61" s="135"/>
      <c r="N61" s="136"/>
      <c r="O61" s="129"/>
      <c r="P61" s="135"/>
      <c r="Q61" s="136"/>
      <c r="R61" s="129"/>
    </row>
    <row r="62" spans="2:18" ht="18.75" customHeight="1">
      <c r="B62" s="150"/>
      <c r="C62" s="139"/>
      <c r="D62" s="141"/>
      <c r="E62" s="142"/>
      <c r="F62" s="129"/>
      <c r="G62" s="141"/>
      <c r="H62" s="142"/>
      <c r="I62" s="129"/>
      <c r="J62" s="141"/>
      <c r="K62" s="142"/>
      <c r="L62" s="129"/>
      <c r="M62" s="141"/>
      <c r="N62" s="142"/>
      <c r="O62" s="129"/>
      <c r="P62" s="141"/>
      <c r="Q62" s="142"/>
      <c r="R62" s="129"/>
    </row>
    <row r="63" spans="2:18" ht="19.5" customHeight="1" thickBot="1">
      <c r="B63" s="150"/>
      <c r="C63" s="140"/>
      <c r="D63" s="145"/>
      <c r="E63" s="146"/>
      <c r="F63" s="131"/>
      <c r="G63" s="145"/>
      <c r="H63" s="146"/>
      <c r="I63" s="131"/>
      <c r="J63" s="145"/>
      <c r="K63" s="146"/>
      <c r="L63" s="131"/>
      <c r="M63" s="145"/>
      <c r="N63" s="146"/>
      <c r="O63" s="131"/>
      <c r="P63" s="145"/>
      <c r="Q63" s="146"/>
      <c r="R63" s="131"/>
    </row>
    <row r="64" spans="2:18" ht="18.75" customHeight="1">
      <c r="B64" s="150"/>
      <c r="C64" s="138" t="s">
        <v>20</v>
      </c>
      <c r="D64" s="143"/>
      <c r="E64" s="144"/>
      <c r="F64" s="128"/>
      <c r="G64" s="143" t="s">
        <v>1033</v>
      </c>
      <c r="H64" s="144"/>
      <c r="I64" s="128">
        <v>4.75</v>
      </c>
      <c r="J64" s="143"/>
      <c r="K64" s="144"/>
      <c r="L64" s="128"/>
      <c r="M64" s="147" t="s">
        <v>1038</v>
      </c>
      <c r="N64" s="148"/>
      <c r="O64" s="6">
        <v>4.75</v>
      </c>
      <c r="P64" s="143"/>
      <c r="Q64" s="144"/>
      <c r="R64" s="128"/>
    </row>
    <row r="65" spans="2:18" ht="18.75" customHeight="1">
      <c r="B65" s="150"/>
      <c r="C65" s="139"/>
      <c r="D65" s="135"/>
      <c r="E65" s="136"/>
      <c r="F65" s="129"/>
      <c r="G65" s="135" t="s">
        <v>1034</v>
      </c>
      <c r="H65" s="136"/>
      <c r="I65" s="129"/>
      <c r="J65" s="135"/>
      <c r="K65" s="136"/>
      <c r="L65" s="129"/>
      <c r="M65" s="147"/>
      <c r="N65" s="148"/>
      <c r="O65" s="111"/>
      <c r="P65" s="135"/>
      <c r="Q65" s="136"/>
      <c r="R65" s="129"/>
    </row>
    <row r="66" spans="2:18" ht="18.75" customHeight="1">
      <c r="B66" s="150"/>
      <c r="C66" s="139"/>
      <c r="D66" s="135"/>
      <c r="E66" s="136"/>
      <c r="F66" s="129"/>
      <c r="G66" s="135" t="s">
        <v>1035</v>
      </c>
      <c r="H66" s="136"/>
      <c r="I66" s="129"/>
      <c r="J66" s="135"/>
      <c r="K66" s="136"/>
      <c r="L66" s="129"/>
      <c r="M66" s="177"/>
      <c r="N66" s="136"/>
      <c r="O66" s="129"/>
      <c r="P66" s="135"/>
      <c r="Q66" s="136"/>
      <c r="R66" s="129"/>
    </row>
    <row r="67" spans="2:18" ht="18.75" customHeight="1">
      <c r="B67" s="150"/>
      <c r="C67" s="139"/>
      <c r="D67" s="135"/>
      <c r="E67" s="136"/>
      <c r="F67" s="129"/>
      <c r="G67" s="135" t="s">
        <v>1036</v>
      </c>
      <c r="H67" s="136"/>
      <c r="I67" s="129"/>
      <c r="J67" s="135"/>
      <c r="K67" s="136"/>
      <c r="L67" s="129"/>
      <c r="M67" s="177"/>
      <c r="N67" s="136"/>
      <c r="O67" s="129"/>
      <c r="P67" s="135"/>
      <c r="Q67" s="136"/>
      <c r="R67" s="129"/>
    </row>
    <row r="68" spans="2:18" ht="19.5" customHeight="1" thickBot="1">
      <c r="B68" s="150"/>
      <c r="C68" s="140"/>
      <c r="D68" s="135"/>
      <c r="E68" s="136"/>
      <c r="F68" s="129"/>
      <c r="G68" s="135"/>
      <c r="H68" s="136"/>
      <c r="I68" s="129"/>
      <c r="J68" s="135"/>
      <c r="K68" s="136"/>
      <c r="L68" s="129"/>
      <c r="M68" s="176"/>
      <c r="N68" s="146"/>
      <c r="O68" s="131"/>
      <c r="P68" s="135"/>
      <c r="Q68" s="136"/>
      <c r="R68" s="129"/>
    </row>
    <row r="69" spans="2:18" ht="19.5" thickBot="1">
      <c r="B69" s="151"/>
      <c r="C69" s="18" t="s">
        <v>76</v>
      </c>
      <c r="D69" s="132"/>
      <c r="E69" s="132"/>
      <c r="F69" s="127">
        <f>SUM(F59:F68)</f>
        <v>0</v>
      </c>
      <c r="G69" s="132"/>
      <c r="H69" s="132"/>
      <c r="I69" s="127">
        <f>SUM(I59:I68)</f>
        <v>7.75</v>
      </c>
      <c r="J69" s="132"/>
      <c r="K69" s="132"/>
      <c r="L69" s="127">
        <f>SUM(L59:L68)</f>
        <v>0</v>
      </c>
      <c r="M69" s="132"/>
      <c r="N69" s="132"/>
      <c r="O69" s="127">
        <f>SUM(O59:O68)</f>
        <v>7.75</v>
      </c>
      <c r="P69" s="132"/>
      <c r="Q69" s="132"/>
      <c r="R69" s="127">
        <f>SUM(R59:R68)</f>
        <v>0</v>
      </c>
    </row>
    <row r="70" spans="2:18">
      <c r="B70" s="124"/>
      <c r="C70" s="125"/>
      <c r="F70" s="125"/>
      <c r="I70" s="125"/>
      <c r="L70" s="125"/>
      <c r="O70" s="125"/>
      <c r="R70" s="125"/>
    </row>
    <row r="71" spans="2:18">
      <c r="B71" s="124"/>
      <c r="C71" s="125"/>
      <c r="F71" s="125"/>
      <c r="I71" s="125"/>
      <c r="L71" s="125"/>
      <c r="O71" s="125"/>
      <c r="R71" s="125"/>
    </row>
    <row r="72" spans="2:18">
      <c r="B72" s="124"/>
      <c r="C72" s="125"/>
      <c r="F72" s="125"/>
      <c r="I72" s="125"/>
      <c r="L72" s="125"/>
      <c r="O72" s="125"/>
      <c r="R72" s="125"/>
    </row>
    <row r="74" spans="2:18">
      <c r="C74" s="137" t="s">
        <v>931</v>
      </c>
      <c r="D74" t="s">
        <v>932</v>
      </c>
    </row>
    <row r="75" spans="2:18">
      <c r="C75" s="137"/>
      <c r="D75" t="s">
        <v>933</v>
      </c>
    </row>
    <row r="76" spans="2:18">
      <c r="C76" s="137"/>
      <c r="D76" t="s">
        <v>934</v>
      </c>
    </row>
    <row r="77" spans="2:18">
      <c r="C77" s="137"/>
      <c r="D77" t="s">
        <v>930</v>
      </c>
    </row>
  </sheetData>
  <mergeCells count="337">
    <mergeCell ref="P68:Q68"/>
    <mergeCell ref="C74:C77"/>
    <mergeCell ref="D66:E66"/>
    <mergeCell ref="G66:H66"/>
    <mergeCell ref="J66:K66"/>
    <mergeCell ref="M66:N66"/>
    <mergeCell ref="P66:Q66"/>
    <mergeCell ref="D67:E67"/>
    <mergeCell ref="G67:H67"/>
    <mergeCell ref="J67:K67"/>
    <mergeCell ref="M67:N67"/>
    <mergeCell ref="P67:Q67"/>
    <mergeCell ref="C64:C68"/>
    <mergeCell ref="P61:Q61"/>
    <mergeCell ref="D62:E62"/>
    <mergeCell ref="G62:H62"/>
    <mergeCell ref="J62:K62"/>
    <mergeCell ref="M62:N62"/>
    <mergeCell ref="P62:Q62"/>
    <mergeCell ref="P64:Q64"/>
    <mergeCell ref="D65:E65"/>
    <mergeCell ref="G65:H65"/>
    <mergeCell ref="J65:K65"/>
    <mergeCell ref="M65:N65"/>
    <mergeCell ref="P65:Q65"/>
    <mergeCell ref="D63:E63"/>
    <mergeCell ref="G63:H63"/>
    <mergeCell ref="J63:K63"/>
    <mergeCell ref="M63:N63"/>
    <mergeCell ref="P63:Q63"/>
    <mergeCell ref="D64:E64"/>
    <mergeCell ref="G64:H64"/>
    <mergeCell ref="J64:K64"/>
    <mergeCell ref="M64:N64"/>
    <mergeCell ref="P59:Q59"/>
    <mergeCell ref="D60:E60"/>
    <mergeCell ref="G60:H60"/>
    <mergeCell ref="J60:K60"/>
    <mergeCell ref="M60:N60"/>
    <mergeCell ref="P60:Q60"/>
    <mergeCell ref="D57:E57"/>
    <mergeCell ref="G57:H57"/>
    <mergeCell ref="J57:K57"/>
    <mergeCell ref="M57:N57"/>
    <mergeCell ref="P57:Q57"/>
    <mergeCell ref="B59:B69"/>
    <mergeCell ref="C59:C63"/>
    <mergeCell ref="D59:E59"/>
    <mergeCell ref="G59:H59"/>
    <mergeCell ref="J59:K59"/>
    <mergeCell ref="D55:E55"/>
    <mergeCell ref="G55:H55"/>
    <mergeCell ref="J55:K55"/>
    <mergeCell ref="M55:N55"/>
    <mergeCell ref="B48:B58"/>
    <mergeCell ref="M59:N59"/>
    <mergeCell ref="D61:E61"/>
    <mergeCell ref="G61:H61"/>
    <mergeCell ref="J61:K61"/>
    <mergeCell ref="M61:N61"/>
    <mergeCell ref="D68:E68"/>
    <mergeCell ref="G68:H68"/>
    <mergeCell ref="J68:K68"/>
    <mergeCell ref="M68:N68"/>
    <mergeCell ref="D52:E52"/>
    <mergeCell ref="G52:H52"/>
    <mergeCell ref="J52:K52"/>
    <mergeCell ref="M52:N52"/>
    <mergeCell ref="D51:E51"/>
    <mergeCell ref="P52:Q52"/>
    <mergeCell ref="C53:C57"/>
    <mergeCell ref="D53:E53"/>
    <mergeCell ref="G53:H53"/>
    <mergeCell ref="J53:K53"/>
    <mergeCell ref="M53:N53"/>
    <mergeCell ref="C48:C52"/>
    <mergeCell ref="P55:Q55"/>
    <mergeCell ref="D56:E56"/>
    <mergeCell ref="G56:H56"/>
    <mergeCell ref="J56:K56"/>
    <mergeCell ref="M56:N56"/>
    <mergeCell ref="P56:Q56"/>
    <mergeCell ref="P53:Q53"/>
    <mergeCell ref="D54:E54"/>
    <mergeCell ref="G54:H54"/>
    <mergeCell ref="J54:K54"/>
    <mergeCell ref="M54:N54"/>
    <mergeCell ref="P54:Q54"/>
    <mergeCell ref="D50:E50"/>
    <mergeCell ref="G50:H50"/>
    <mergeCell ref="J50:K50"/>
    <mergeCell ref="M50:N50"/>
    <mergeCell ref="P50:Q50"/>
    <mergeCell ref="G51:H51"/>
    <mergeCell ref="J51:K51"/>
    <mergeCell ref="M51:N51"/>
    <mergeCell ref="P51:Q51"/>
    <mergeCell ref="D49:E49"/>
    <mergeCell ref="G49:H49"/>
    <mergeCell ref="J49:K49"/>
    <mergeCell ref="M49:N49"/>
    <mergeCell ref="P49:Q49"/>
    <mergeCell ref="D46:E46"/>
    <mergeCell ref="G46:H46"/>
    <mergeCell ref="J46:K46"/>
    <mergeCell ref="M46:N46"/>
    <mergeCell ref="P46:Q46"/>
    <mergeCell ref="D48:E48"/>
    <mergeCell ref="G48:H48"/>
    <mergeCell ref="J48:K48"/>
    <mergeCell ref="J44:K44"/>
    <mergeCell ref="M44:N44"/>
    <mergeCell ref="P44:Q44"/>
    <mergeCell ref="D45:E45"/>
    <mergeCell ref="G45:H45"/>
    <mergeCell ref="J45:K45"/>
    <mergeCell ref="M45:N45"/>
    <mergeCell ref="P45:Q45"/>
    <mergeCell ref="M48:N48"/>
    <mergeCell ref="P48:Q48"/>
    <mergeCell ref="M38:N38"/>
    <mergeCell ref="P38:Q38"/>
    <mergeCell ref="C42:C46"/>
    <mergeCell ref="D42:E42"/>
    <mergeCell ref="G42:H42"/>
    <mergeCell ref="J42:K42"/>
    <mergeCell ref="M42:N42"/>
    <mergeCell ref="D39:E39"/>
    <mergeCell ref="G39:H39"/>
    <mergeCell ref="J39:K39"/>
    <mergeCell ref="M39:N39"/>
    <mergeCell ref="P42:Q42"/>
    <mergeCell ref="D43:E43"/>
    <mergeCell ref="G43:H43"/>
    <mergeCell ref="J43:K43"/>
    <mergeCell ref="M43:N43"/>
    <mergeCell ref="P43:Q43"/>
    <mergeCell ref="D41:E41"/>
    <mergeCell ref="G41:H41"/>
    <mergeCell ref="J41:K41"/>
    <mergeCell ref="M41:N41"/>
    <mergeCell ref="P41:Q41"/>
    <mergeCell ref="D44:E44"/>
    <mergeCell ref="G44:H44"/>
    <mergeCell ref="D35:E35"/>
    <mergeCell ref="G35:H35"/>
    <mergeCell ref="J35:K35"/>
    <mergeCell ref="M35:N35"/>
    <mergeCell ref="P35:Q35"/>
    <mergeCell ref="B37:B47"/>
    <mergeCell ref="C37:C41"/>
    <mergeCell ref="D37:E37"/>
    <mergeCell ref="G37:H37"/>
    <mergeCell ref="J37:K37"/>
    <mergeCell ref="C31:C35"/>
    <mergeCell ref="B26:B36"/>
    <mergeCell ref="C26:C30"/>
    <mergeCell ref="P39:Q39"/>
    <mergeCell ref="D40:E40"/>
    <mergeCell ref="G40:H40"/>
    <mergeCell ref="J40:K40"/>
    <mergeCell ref="M40:N40"/>
    <mergeCell ref="P40:Q40"/>
    <mergeCell ref="M37:N37"/>
    <mergeCell ref="P37:Q37"/>
    <mergeCell ref="D38:E38"/>
    <mergeCell ref="G38:H38"/>
    <mergeCell ref="J38:K38"/>
    <mergeCell ref="D33:E33"/>
    <mergeCell ref="G33:H33"/>
    <mergeCell ref="J33:K33"/>
    <mergeCell ref="M33:N33"/>
    <mergeCell ref="P33:Q33"/>
    <mergeCell ref="D34:E34"/>
    <mergeCell ref="G34:H34"/>
    <mergeCell ref="J34:K34"/>
    <mergeCell ref="M34:N34"/>
    <mergeCell ref="P34:Q34"/>
    <mergeCell ref="P31:Q31"/>
    <mergeCell ref="D32:E32"/>
    <mergeCell ref="G32:H32"/>
    <mergeCell ref="J32:K32"/>
    <mergeCell ref="M32:N32"/>
    <mergeCell ref="P32:Q32"/>
    <mergeCell ref="D30:E30"/>
    <mergeCell ref="G30:H30"/>
    <mergeCell ref="J30:K30"/>
    <mergeCell ref="M30:N30"/>
    <mergeCell ref="P30:Q30"/>
    <mergeCell ref="D31:E31"/>
    <mergeCell ref="G31:H31"/>
    <mergeCell ref="J31:K31"/>
    <mergeCell ref="M31:N31"/>
    <mergeCell ref="D28:E28"/>
    <mergeCell ref="G28:H28"/>
    <mergeCell ref="J28:K28"/>
    <mergeCell ref="M28:N28"/>
    <mergeCell ref="P28:Q28"/>
    <mergeCell ref="D29:E29"/>
    <mergeCell ref="G29:H29"/>
    <mergeCell ref="J29:K29"/>
    <mergeCell ref="M29:N29"/>
    <mergeCell ref="P29:Q29"/>
    <mergeCell ref="M26:N26"/>
    <mergeCell ref="P26:Q26"/>
    <mergeCell ref="D27:E27"/>
    <mergeCell ref="G27:H27"/>
    <mergeCell ref="J27:K27"/>
    <mergeCell ref="M27:N27"/>
    <mergeCell ref="P27:Q27"/>
    <mergeCell ref="D24:E24"/>
    <mergeCell ref="G24:H24"/>
    <mergeCell ref="J24:K24"/>
    <mergeCell ref="M24:N24"/>
    <mergeCell ref="P24:Q24"/>
    <mergeCell ref="D26:E26"/>
    <mergeCell ref="G26:H26"/>
    <mergeCell ref="J26:K26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  <mergeCell ref="D18:E18"/>
    <mergeCell ref="G18:H18"/>
    <mergeCell ref="J18:K18"/>
    <mergeCell ref="M18:N18"/>
    <mergeCell ref="P18:Q18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M13:N13"/>
    <mergeCell ref="P13:Q13"/>
    <mergeCell ref="P15:Q15"/>
    <mergeCell ref="D16:E16"/>
    <mergeCell ref="G16:H16"/>
    <mergeCell ref="J16:K16"/>
    <mergeCell ref="M16:N16"/>
    <mergeCell ref="P16:Q16"/>
    <mergeCell ref="B15:B25"/>
    <mergeCell ref="C15:C19"/>
    <mergeCell ref="D15:E15"/>
    <mergeCell ref="G15:H15"/>
    <mergeCell ref="J15:K15"/>
    <mergeCell ref="M15:N15"/>
    <mergeCell ref="D17:E17"/>
    <mergeCell ref="G17:H17"/>
    <mergeCell ref="J17:K17"/>
    <mergeCell ref="M17:N17"/>
    <mergeCell ref="C20:C24"/>
    <mergeCell ref="D20:E20"/>
    <mergeCell ref="G20:H20"/>
    <mergeCell ref="J20:K20"/>
    <mergeCell ref="M20:N20"/>
    <mergeCell ref="P17:Q17"/>
    <mergeCell ref="P10:Q10"/>
    <mergeCell ref="D11:E11"/>
    <mergeCell ref="G11:H11"/>
    <mergeCell ref="J11:K11"/>
    <mergeCell ref="M11:N11"/>
    <mergeCell ref="P11:Q11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2:E12"/>
    <mergeCell ref="G12:H12"/>
    <mergeCell ref="J12:K12"/>
    <mergeCell ref="M12:N12"/>
    <mergeCell ref="P12:Q12"/>
    <mergeCell ref="D13:E13"/>
    <mergeCell ref="G13:H13"/>
    <mergeCell ref="J13:K13"/>
    <mergeCell ref="D7:E7"/>
    <mergeCell ref="G7:H7"/>
    <mergeCell ref="J7:K7"/>
    <mergeCell ref="M7:N7"/>
    <mergeCell ref="P7:Q7"/>
    <mergeCell ref="D8:E8"/>
    <mergeCell ref="G8:H8"/>
    <mergeCell ref="J8:K8"/>
    <mergeCell ref="M8:N8"/>
    <mergeCell ref="P8:Q8"/>
    <mergeCell ref="R2:R3"/>
    <mergeCell ref="B4:B14"/>
    <mergeCell ref="C4:C8"/>
    <mergeCell ref="D4:E4"/>
    <mergeCell ref="G4:H4"/>
    <mergeCell ref="J4:K4"/>
    <mergeCell ref="M4:N4"/>
    <mergeCell ref="P4:Q4"/>
    <mergeCell ref="D5:E5"/>
    <mergeCell ref="K2:K3"/>
    <mergeCell ref="L2:L3"/>
    <mergeCell ref="M2:M3"/>
    <mergeCell ref="N2:N3"/>
    <mergeCell ref="O2:O3"/>
    <mergeCell ref="P2:P3"/>
    <mergeCell ref="G5:H5"/>
    <mergeCell ref="J5:K5"/>
    <mergeCell ref="M5:N5"/>
    <mergeCell ref="P5:Q5"/>
    <mergeCell ref="D6:E6"/>
    <mergeCell ref="G6:H6"/>
    <mergeCell ref="J6:K6"/>
    <mergeCell ref="M6:N6"/>
    <mergeCell ref="P6:Q6"/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  <mergeCell ref="Q2:Q3"/>
  </mergeCells>
  <phoneticPr fontId="1"/>
  <pageMargins left="0.70866141732283472" right="0.70866141732283472" top="0.74803149606299213" bottom="0.74803149606299213" header="0.31496062992125984" footer="0.31496062992125984"/>
  <pageSetup paperSize="8" scale="65" fitToHeight="0" orientation="landscape" horizontalDpi="1200" verticalDpi="1200" r:id="rId1"/>
  <rowBreaks count="1" manualBreakCount="1">
    <brk id="47" max="18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B716A-94E2-4E14-B3F4-A74D7D0D886E}">
  <sheetPr>
    <pageSetUpPr fitToPage="1"/>
  </sheetPr>
  <dimension ref="B1:S55"/>
  <sheetViews>
    <sheetView view="pageBreakPreview" zoomScale="70" zoomScaleNormal="70" zoomScaleSheetLayoutView="70" workbookViewId="0">
      <selection activeCell="D4" sqref="D4:E4"/>
    </sheetView>
  </sheetViews>
  <sheetFormatPr defaultRowHeight="18.75"/>
  <cols>
    <col min="1" max="1" width="2.5" customWidth="1"/>
    <col min="4" max="18" width="16" customWidth="1"/>
  </cols>
  <sheetData>
    <row r="1" spans="2:19" ht="24.75" thickBot="1">
      <c r="D1" s="53">
        <v>46090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19" s="5" customFormat="1">
      <c r="B2" s="201"/>
      <c r="C2" s="202"/>
      <c r="D2" s="205">
        <f>D1</f>
        <v>46090</v>
      </c>
      <c r="E2" s="195" t="s">
        <v>3</v>
      </c>
      <c r="F2" s="191" t="s">
        <v>4</v>
      </c>
      <c r="G2" s="197">
        <f>D2+1</f>
        <v>46091</v>
      </c>
      <c r="H2" s="195" t="s">
        <v>5</v>
      </c>
      <c r="I2" s="191" t="s">
        <v>4</v>
      </c>
      <c r="J2" s="197">
        <f>G2+1</f>
        <v>46092</v>
      </c>
      <c r="K2" s="195" t="s">
        <v>6</v>
      </c>
      <c r="L2" s="191" t="s">
        <v>4</v>
      </c>
      <c r="M2" s="197">
        <f>J2+1</f>
        <v>46093</v>
      </c>
      <c r="N2" s="195" t="s">
        <v>7</v>
      </c>
      <c r="O2" s="191" t="s">
        <v>4</v>
      </c>
      <c r="P2" s="197">
        <f>M2+1</f>
        <v>46094</v>
      </c>
      <c r="Q2" s="195" t="s">
        <v>8</v>
      </c>
      <c r="R2" s="191" t="s">
        <v>4</v>
      </c>
    </row>
    <row r="3" spans="2:19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19" ht="18.75" customHeight="1">
      <c r="B4" s="149" t="s">
        <v>32</v>
      </c>
      <c r="C4" s="138" t="s">
        <v>9</v>
      </c>
      <c r="D4" s="193" t="s">
        <v>928</v>
      </c>
      <c r="E4" s="194"/>
      <c r="F4" s="75">
        <v>0.5</v>
      </c>
      <c r="G4" s="193" t="s">
        <v>928</v>
      </c>
      <c r="H4" s="194"/>
      <c r="I4" s="75">
        <v>0.5</v>
      </c>
      <c r="J4" s="193" t="s">
        <v>928</v>
      </c>
      <c r="K4" s="194"/>
      <c r="L4" s="75">
        <v>0.5</v>
      </c>
      <c r="M4" s="193" t="s">
        <v>928</v>
      </c>
      <c r="N4" s="194"/>
      <c r="O4" s="75">
        <v>0.5</v>
      </c>
      <c r="P4" s="193" t="s">
        <v>928</v>
      </c>
      <c r="Q4" s="194"/>
      <c r="R4" s="75">
        <v>0.5</v>
      </c>
      <c r="S4" s="95"/>
    </row>
    <row r="5" spans="2:19">
      <c r="B5" s="150"/>
      <c r="C5" s="139"/>
      <c r="D5" s="183" t="s">
        <v>950</v>
      </c>
      <c r="E5" s="184"/>
      <c r="F5" s="32">
        <v>0.5</v>
      </c>
      <c r="G5" s="183" t="s">
        <v>950</v>
      </c>
      <c r="H5" s="184"/>
      <c r="I5" s="32">
        <v>0.5</v>
      </c>
      <c r="J5" s="183" t="s">
        <v>950</v>
      </c>
      <c r="K5" s="184"/>
      <c r="L5" s="32">
        <v>0.5</v>
      </c>
      <c r="M5" s="183" t="s">
        <v>950</v>
      </c>
      <c r="N5" s="184"/>
      <c r="O5" s="32">
        <v>0.5</v>
      </c>
      <c r="P5" s="183" t="s">
        <v>950</v>
      </c>
      <c r="Q5" s="184"/>
      <c r="R5" s="111">
        <v>0.5</v>
      </c>
      <c r="S5" s="95"/>
    </row>
    <row r="6" spans="2:19">
      <c r="B6" s="150"/>
      <c r="C6" s="139"/>
      <c r="D6" s="147" t="s">
        <v>1005</v>
      </c>
      <c r="E6" s="148"/>
      <c r="F6" s="111">
        <v>1.5</v>
      </c>
      <c r="G6" s="147" t="s">
        <v>1005</v>
      </c>
      <c r="H6" s="148"/>
      <c r="I6" s="111">
        <v>2</v>
      </c>
      <c r="J6" s="147" t="s">
        <v>1006</v>
      </c>
      <c r="K6" s="148"/>
      <c r="L6" s="111">
        <v>2</v>
      </c>
      <c r="M6" s="185" t="s">
        <v>750</v>
      </c>
      <c r="N6" s="186"/>
      <c r="O6" s="32">
        <v>1</v>
      </c>
      <c r="P6" s="147"/>
      <c r="Q6" s="148"/>
      <c r="R6" s="111"/>
      <c r="S6" s="95"/>
    </row>
    <row r="7" spans="2:19">
      <c r="B7" s="150"/>
      <c r="C7" s="139"/>
      <c r="D7" s="187"/>
      <c r="E7" s="182"/>
      <c r="F7" s="111"/>
      <c r="G7" s="187"/>
      <c r="H7" s="182"/>
      <c r="I7" s="111"/>
      <c r="J7" s="187"/>
      <c r="K7" s="182"/>
      <c r="L7" s="111"/>
      <c r="M7" s="187"/>
      <c r="N7" s="182"/>
      <c r="O7" s="111"/>
      <c r="P7" s="188"/>
      <c r="Q7" s="148"/>
      <c r="R7" s="111"/>
      <c r="S7" s="8"/>
    </row>
    <row r="8" spans="2:19" ht="19.5" thickBot="1">
      <c r="B8" s="150"/>
      <c r="C8" s="140"/>
      <c r="D8" s="189" t="s">
        <v>957</v>
      </c>
      <c r="E8" s="190"/>
      <c r="F8" s="120">
        <v>0.5</v>
      </c>
      <c r="G8" s="189"/>
      <c r="H8" s="190"/>
      <c r="I8" s="120"/>
      <c r="J8" s="189" t="s">
        <v>957</v>
      </c>
      <c r="K8" s="190"/>
      <c r="L8" s="120"/>
      <c r="M8" s="189" t="s">
        <v>937</v>
      </c>
      <c r="N8" s="190"/>
      <c r="O8" s="120">
        <v>1</v>
      </c>
      <c r="P8" s="189" t="s">
        <v>959</v>
      </c>
      <c r="Q8" s="190"/>
      <c r="R8" s="120">
        <v>2</v>
      </c>
      <c r="S8" s="96"/>
    </row>
    <row r="9" spans="2:19" ht="18.75" customHeight="1">
      <c r="B9" s="150"/>
      <c r="C9" s="138" t="s">
        <v>20</v>
      </c>
      <c r="D9" s="147" t="s">
        <v>1007</v>
      </c>
      <c r="E9" s="148"/>
      <c r="F9" s="111">
        <v>3.25</v>
      </c>
      <c r="G9" s="181" t="s">
        <v>1008</v>
      </c>
      <c r="H9" s="182"/>
      <c r="I9" s="111">
        <v>3.25</v>
      </c>
      <c r="J9" s="147" t="s">
        <v>1008</v>
      </c>
      <c r="K9" s="148"/>
      <c r="L9" s="111">
        <v>3.25</v>
      </c>
      <c r="M9" s="147" t="s">
        <v>1009</v>
      </c>
      <c r="N9" s="148"/>
      <c r="O9" s="111">
        <v>3.25</v>
      </c>
      <c r="P9" s="147" t="s">
        <v>1009</v>
      </c>
      <c r="Q9" s="148"/>
      <c r="R9" s="111">
        <v>3.25</v>
      </c>
      <c r="S9" s="11"/>
    </row>
    <row r="10" spans="2:19" ht="18.75" customHeight="1">
      <c r="B10" s="150"/>
      <c r="C10" s="139"/>
      <c r="D10" s="147"/>
      <c r="E10" s="148"/>
      <c r="F10" s="111"/>
      <c r="G10" s="147"/>
      <c r="H10" s="148"/>
      <c r="I10" s="111"/>
      <c r="J10" s="147"/>
      <c r="K10" s="148"/>
      <c r="L10" s="111"/>
      <c r="M10" s="147"/>
      <c r="N10" s="148"/>
      <c r="O10" s="111"/>
      <c r="P10" s="147"/>
      <c r="Q10" s="148"/>
      <c r="R10" s="111"/>
      <c r="S10" s="11"/>
    </row>
    <row r="11" spans="2:19" ht="18.75" customHeight="1">
      <c r="B11" s="150"/>
      <c r="C11" s="139"/>
      <c r="D11" s="147"/>
      <c r="E11" s="148"/>
      <c r="F11" s="111"/>
      <c r="G11" s="147"/>
      <c r="H11" s="148"/>
      <c r="I11" s="111"/>
      <c r="J11" s="147"/>
      <c r="K11" s="148"/>
      <c r="L11" s="111"/>
      <c r="M11" s="147"/>
      <c r="N11" s="148"/>
      <c r="O11" s="111"/>
      <c r="P11" s="147"/>
      <c r="Q11" s="148"/>
      <c r="R11" s="111"/>
      <c r="S11" s="96"/>
    </row>
    <row r="12" spans="2:19" ht="18.75" customHeight="1">
      <c r="B12" s="150"/>
      <c r="C12" s="139"/>
      <c r="D12" s="183" t="s">
        <v>848</v>
      </c>
      <c r="E12" s="184"/>
      <c r="F12" s="111">
        <v>0.5</v>
      </c>
      <c r="G12" s="183" t="s">
        <v>848</v>
      </c>
      <c r="H12" s="184"/>
      <c r="I12" s="111">
        <v>0.5</v>
      </c>
      <c r="J12" s="183" t="s">
        <v>848</v>
      </c>
      <c r="K12" s="184"/>
      <c r="L12" s="111">
        <v>0.5</v>
      </c>
      <c r="M12" s="185" t="s">
        <v>848</v>
      </c>
      <c r="N12" s="186"/>
      <c r="O12" s="111">
        <v>0.5</v>
      </c>
      <c r="P12" s="183" t="s">
        <v>848</v>
      </c>
      <c r="Q12" s="184"/>
      <c r="R12" s="111">
        <v>0.5</v>
      </c>
      <c r="S12" s="96"/>
    </row>
    <row r="13" spans="2:19" ht="19.5" customHeight="1" thickBot="1">
      <c r="B13" s="150"/>
      <c r="C13" s="140"/>
      <c r="D13" s="178" t="s">
        <v>948</v>
      </c>
      <c r="E13" s="179"/>
      <c r="F13" s="59">
        <v>1</v>
      </c>
      <c r="G13" s="178" t="s">
        <v>949</v>
      </c>
      <c r="H13" s="179"/>
      <c r="I13" s="59">
        <v>1</v>
      </c>
      <c r="J13" s="178" t="s">
        <v>949</v>
      </c>
      <c r="K13" s="179"/>
      <c r="L13" s="59">
        <v>1</v>
      </c>
      <c r="M13" s="178" t="s">
        <v>949</v>
      </c>
      <c r="N13" s="179"/>
      <c r="O13" s="59">
        <v>1</v>
      </c>
      <c r="P13" s="178" t="s">
        <v>949</v>
      </c>
      <c r="Q13" s="179"/>
      <c r="R13" s="59">
        <v>1</v>
      </c>
    </row>
    <row r="14" spans="2:19" ht="19.5" thickBot="1">
      <c r="B14" s="151"/>
      <c r="C14" s="18" t="s">
        <v>76</v>
      </c>
      <c r="D14" s="132"/>
      <c r="E14" s="132"/>
      <c r="F14" s="127">
        <f>SUM(F4:F13)</f>
        <v>7.75</v>
      </c>
      <c r="G14" s="132"/>
      <c r="H14" s="132"/>
      <c r="I14" s="127">
        <f>SUM(I4:I13)</f>
        <v>7.75</v>
      </c>
      <c r="J14" s="132"/>
      <c r="K14" s="132"/>
      <c r="L14" s="127">
        <f>SUM(L4:L13)</f>
        <v>7.75</v>
      </c>
      <c r="M14" s="132"/>
      <c r="N14" s="132"/>
      <c r="O14" s="127">
        <f>SUM(O4:O13)</f>
        <v>7.75</v>
      </c>
      <c r="P14" s="132"/>
      <c r="Q14" s="132"/>
      <c r="R14" s="127">
        <f>SUM(R4:R13)</f>
        <v>7.75</v>
      </c>
    </row>
    <row r="15" spans="2:19" ht="18.75" customHeight="1">
      <c r="B15" s="149" t="s">
        <v>65</v>
      </c>
      <c r="C15" s="138" t="s">
        <v>9</v>
      </c>
      <c r="D15" s="143" t="s">
        <v>953</v>
      </c>
      <c r="E15" s="144"/>
      <c r="F15" s="128">
        <v>0.5</v>
      </c>
      <c r="G15" s="166" t="s">
        <v>962</v>
      </c>
      <c r="H15" s="142"/>
      <c r="I15" s="128">
        <v>2.25</v>
      </c>
      <c r="J15" s="177" t="s">
        <v>671</v>
      </c>
      <c r="K15" s="136"/>
      <c r="L15" s="128">
        <v>0.5</v>
      </c>
      <c r="M15" s="177" t="s">
        <v>1014</v>
      </c>
      <c r="N15" s="136"/>
      <c r="O15" s="128">
        <v>1</v>
      </c>
      <c r="P15" s="180" t="s">
        <v>671</v>
      </c>
      <c r="Q15" s="144"/>
      <c r="R15" s="128">
        <v>0.25</v>
      </c>
    </row>
    <row r="16" spans="2:19" ht="18.75" customHeight="1">
      <c r="B16" s="150"/>
      <c r="C16" s="139"/>
      <c r="D16" s="135" t="s">
        <v>997</v>
      </c>
      <c r="E16" s="136"/>
      <c r="F16" s="129">
        <v>1.25</v>
      </c>
      <c r="G16" s="177" t="s">
        <v>966</v>
      </c>
      <c r="H16" s="136"/>
      <c r="I16" s="129">
        <v>0.75</v>
      </c>
      <c r="J16" s="177" t="s">
        <v>997</v>
      </c>
      <c r="K16" s="136"/>
      <c r="L16" s="129">
        <v>1.25</v>
      </c>
      <c r="M16" s="177" t="s">
        <v>997</v>
      </c>
      <c r="N16" s="136"/>
      <c r="O16" s="129">
        <v>1.25</v>
      </c>
      <c r="P16" s="177" t="s">
        <v>997</v>
      </c>
      <c r="Q16" s="136"/>
      <c r="R16" s="129">
        <v>0.5</v>
      </c>
    </row>
    <row r="17" spans="2:18" ht="18.75" customHeight="1">
      <c r="B17" s="150"/>
      <c r="C17" s="139"/>
      <c r="D17" s="135" t="s">
        <v>1015</v>
      </c>
      <c r="E17" s="136"/>
      <c r="F17" s="129">
        <v>1</v>
      </c>
      <c r="G17" s="166"/>
      <c r="H17" s="142"/>
      <c r="I17" s="129"/>
      <c r="J17" s="177" t="s">
        <v>1016</v>
      </c>
      <c r="K17" s="136"/>
      <c r="L17" s="129">
        <v>2</v>
      </c>
      <c r="M17" s="177" t="s">
        <v>998</v>
      </c>
      <c r="N17" s="136"/>
      <c r="O17" s="129">
        <v>1</v>
      </c>
      <c r="P17" s="177" t="s">
        <v>965</v>
      </c>
      <c r="Q17" s="136"/>
      <c r="R17" s="129">
        <v>2</v>
      </c>
    </row>
    <row r="18" spans="2:18" ht="18.75" customHeight="1">
      <c r="B18" s="150"/>
      <c r="C18" s="139"/>
      <c r="D18" s="141" t="s">
        <v>1016</v>
      </c>
      <c r="E18" s="142"/>
      <c r="F18" s="129">
        <v>1.5</v>
      </c>
      <c r="G18" s="177"/>
      <c r="H18" s="136"/>
      <c r="I18" s="130"/>
      <c r="J18" s="177"/>
      <c r="K18" s="136"/>
      <c r="L18" s="130"/>
      <c r="M18" s="177" t="s">
        <v>1017</v>
      </c>
      <c r="N18" s="136"/>
      <c r="O18" s="130">
        <v>1.25</v>
      </c>
      <c r="P18" s="177"/>
      <c r="Q18" s="136"/>
      <c r="R18" s="130"/>
    </row>
    <row r="19" spans="2:18" ht="19.5" customHeight="1" thickBot="1">
      <c r="B19" s="150"/>
      <c r="C19" s="140"/>
      <c r="D19" s="145"/>
      <c r="E19" s="146"/>
      <c r="F19" s="131"/>
      <c r="G19" s="176"/>
      <c r="H19" s="146"/>
      <c r="I19" s="131"/>
      <c r="J19" s="176" t="s">
        <v>999</v>
      </c>
      <c r="K19" s="146"/>
      <c r="L19" s="131">
        <v>1</v>
      </c>
      <c r="M19" s="176"/>
      <c r="N19" s="146"/>
      <c r="O19" s="131"/>
      <c r="P19" s="176"/>
      <c r="Q19" s="146"/>
      <c r="R19" s="131"/>
    </row>
    <row r="20" spans="2:18" ht="18.75" customHeight="1">
      <c r="B20" s="150"/>
      <c r="C20" s="138" t="s">
        <v>20</v>
      </c>
      <c r="D20" s="143" t="s">
        <v>966</v>
      </c>
      <c r="E20" s="144"/>
      <c r="F20" s="128">
        <v>0.75</v>
      </c>
      <c r="G20" s="177" t="s">
        <v>962</v>
      </c>
      <c r="H20" s="136"/>
      <c r="I20" s="129">
        <v>3.5</v>
      </c>
      <c r="J20" s="177" t="s">
        <v>966</v>
      </c>
      <c r="K20" s="136"/>
      <c r="L20" s="129">
        <v>0.75</v>
      </c>
      <c r="M20" s="177" t="s">
        <v>966</v>
      </c>
      <c r="N20" s="136"/>
      <c r="O20" s="129">
        <v>0.75</v>
      </c>
      <c r="P20" s="177"/>
      <c r="Q20" s="136"/>
      <c r="R20" s="129"/>
    </row>
    <row r="21" spans="2:18" ht="18.75" customHeight="1">
      <c r="B21" s="150"/>
      <c r="C21" s="139"/>
      <c r="D21" s="135" t="s">
        <v>1003</v>
      </c>
      <c r="E21" s="136"/>
      <c r="F21" s="129">
        <v>1.5</v>
      </c>
      <c r="G21" s="166"/>
      <c r="H21" s="142"/>
      <c r="I21" s="129"/>
      <c r="J21" s="177" t="s">
        <v>1000</v>
      </c>
      <c r="K21" s="136"/>
      <c r="L21" s="129">
        <v>1</v>
      </c>
      <c r="M21" s="177" t="s">
        <v>1016</v>
      </c>
      <c r="N21" s="136"/>
      <c r="O21" s="129">
        <v>1.25</v>
      </c>
      <c r="P21" s="177" t="s">
        <v>1001</v>
      </c>
      <c r="Q21" s="136"/>
      <c r="R21" s="129">
        <v>3.75</v>
      </c>
    </row>
    <row r="22" spans="2:18" ht="18.75" customHeight="1">
      <c r="B22" s="150"/>
      <c r="C22" s="139"/>
      <c r="D22" s="135" t="s">
        <v>1002</v>
      </c>
      <c r="E22" s="136"/>
      <c r="F22" s="129">
        <v>0.5</v>
      </c>
      <c r="G22" s="166" t="s">
        <v>1002</v>
      </c>
      <c r="H22" s="142"/>
      <c r="I22" s="129">
        <v>0.5</v>
      </c>
      <c r="J22" s="177" t="s">
        <v>1002</v>
      </c>
      <c r="K22" s="136"/>
      <c r="L22" s="129">
        <v>0.5</v>
      </c>
      <c r="M22" s="177" t="s">
        <v>1002</v>
      </c>
      <c r="N22" s="136"/>
      <c r="O22" s="129">
        <v>0.5</v>
      </c>
      <c r="P22" s="177" t="s">
        <v>1002</v>
      </c>
      <c r="Q22" s="136"/>
      <c r="R22" s="129">
        <v>0.5</v>
      </c>
    </row>
    <row r="23" spans="2:18" ht="18.75" customHeight="1">
      <c r="B23" s="150"/>
      <c r="C23" s="139"/>
      <c r="D23" s="135" t="s">
        <v>954</v>
      </c>
      <c r="E23" s="136"/>
      <c r="F23" s="129">
        <v>0.75</v>
      </c>
      <c r="G23" s="177" t="s">
        <v>954</v>
      </c>
      <c r="H23" s="136"/>
      <c r="I23" s="129">
        <v>0.75</v>
      </c>
      <c r="J23" s="177" t="s">
        <v>954</v>
      </c>
      <c r="K23" s="136"/>
      <c r="L23" s="129">
        <v>0.75</v>
      </c>
      <c r="M23" s="177" t="s">
        <v>954</v>
      </c>
      <c r="N23" s="136"/>
      <c r="O23" s="129">
        <v>0.75</v>
      </c>
      <c r="P23" s="177" t="s">
        <v>954</v>
      </c>
      <c r="Q23" s="136"/>
      <c r="R23" s="129">
        <v>0.75</v>
      </c>
    </row>
    <row r="24" spans="2:18" ht="19.5" customHeight="1" thickBot="1">
      <c r="B24" s="150"/>
      <c r="C24" s="140"/>
      <c r="D24" s="135" t="s">
        <v>110</v>
      </c>
      <c r="E24" s="136"/>
      <c r="F24" s="129"/>
      <c r="G24" s="176" t="s">
        <v>110</v>
      </c>
      <c r="H24" s="146"/>
      <c r="I24" s="131"/>
      <c r="J24" s="176" t="s">
        <v>110</v>
      </c>
      <c r="K24" s="146"/>
      <c r="L24" s="131"/>
      <c r="M24" s="176" t="s">
        <v>110</v>
      </c>
      <c r="N24" s="146"/>
      <c r="O24" s="131"/>
      <c r="P24" s="176" t="s">
        <v>110</v>
      </c>
      <c r="Q24" s="146"/>
      <c r="R24" s="131"/>
    </row>
    <row r="25" spans="2:18" ht="19.5" thickBot="1">
      <c r="B25" s="151"/>
      <c r="C25" s="18" t="s">
        <v>76</v>
      </c>
      <c r="D25" s="132"/>
      <c r="E25" s="132"/>
      <c r="F25" s="127">
        <f>SUM(F15:F24)</f>
        <v>7.75</v>
      </c>
      <c r="G25" s="132"/>
      <c r="H25" s="132"/>
      <c r="I25" s="127">
        <f>SUM(I15:I24)</f>
        <v>7.75</v>
      </c>
      <c r="J25" s="132"/>
      <c r="K25" s="132"/>
      <c r="L25" s="127">
        <f>SUM(L15:L24)</f>
        <v>7.75</v>
      </c>
      <c r="M25" s="132"/>
      <c r="N25" s="132"/>
      <c r="O25" s="127">
        <f>SUM(O15:O24)</f>
        <v>7.75</v>
      </c>
      <c r="P25" s="132"/>
      <c r="Q25" s="132"/>
      <c r="R25" s="127">
        <f>SUM(R15:R24)</f>
        <v>7.75</v>
      </c>
    </row>
    <row r="26" spans="2:18" ht="18.75" customHeight="1">
      <c r="B26" s="149" t="s">
        <v>938</v>
      </c>
      <c r="C26" s="138" t="s">
        <v>9</v>
      </c>
      <c r="D26" s="156" t="s">
        <v>939</v>
      </c>
      <c r="E26" s="153"/>
      <c r="F26" s="6">
        <v>1.5</v>
      </c>
      <c r="G26" s="156" t="s">
        <v>946</v>
      </c>
      <c r="H26" s="153"/>
      <c r="I26" s="6">
        <v>1.5</v>
      </c>
      <c r="J26" s="156" t="s">
        <v>946</v>
      </c>
      <c r="K26" s="153"/>
      <c r="L26" s="6">
        <v>1.5</v>
      </c>
      <c r="M26" s="156" t="s">
        <v>947</v>
      </c>
      <c r="N26" s="153"/>
      <c r="O26" s="6">
        <v>1.5</v>
      </c>
      <c r="P26" s="156" t="s">
        <v>947</v>
      </c>
      <c r="Q26" s="153"/>
      <c r="R26" s="6">
        <v>1.5</v>
      </c>
    </row>
    <row r="27" spans="2:18" ht="18.75" customHeight="1">
      <c r="B27" s="150"/>
      <c r="C27" s="139"/>
      <c r="D27" s="175" t="s">
        <v>941</v>
      </c>
      <c r="E27" s="168"/>
      <c r="F27" s="7">
        <v>0.1</v>
      </c>
      <c r="G27" s="175" t="s">
        <v>990</v>
      </c>
      <c r="H27" s="168"/>
      <c r="I27" s="7">
        <v>0.1</v>
      </c>
      <c r="J27" s="175" t="s">
        <v>941</v>
      </c>
      <c r="K27" s="168"/>
      <c r="L27" s="7">
        <v>0.1</v>
      </c>
      <c r="M27" s="175" t="s">
        <v>941</v>
      </c>
      <c r="N27" s="168"/>
      <c r="O27" s="7">
        <v>0.1</v>
      </c>
      <c r="P27" s="175" t="s">
        <v>941</v>
      </c>
      <c r="Q27" s="168"/>
      <c r="R27" s="7">
        <v>0.1</v>
      </c>
    </row>
    <row r="28" spans="2:18" ht="18.75" customHeight="1">
      <c r="B28" s="150"/>
      <c r="C28" s="139"/>
      <c r="D28" s="167" t="s">
        <v>955</v>
      </c>
      <c r="E28" s="168"/>
      <c r="F28" s="12">
        <v>1</v>
      </c>
      <c r="G28" s="167" t="s">
        <v>991</v>
      </c>
      <c r="H28" s="168"/>
      <c r="I28" s="12">
        <v>0.9</v>
      </c>
      <c r="J28" s="167" t="s">
        <v>991</v>
      </c>
      <c r="K28" s="168"/>
      <c r="L28" s="12">
        <v>1</v>
      </c>
      <c r="M28" s="167" t="s">
        <v>991</v>
      </c>
      <c r="N28" s="168"/>
      <c r="O28" s="12">
        <v>1</v>
      </c>
      <c r="P28" s="167" t="s">
        <v>956</v>
      </c>
      <c r="Q28" s="168"/>
      <c r="R28" s="12">
        <v>1</v>
      </c>
    </row>
    <row r="29" spans="2:18" ht="18.75" customHeight="1">
      <c r="B29" s="150"/>
      <c r="C29" s="139"/>
      <c r="D29" s="167" t="s">
        <v>951</v>
      </c>
      <c r="E29" s="168"/>
      <c r="F29" s="12">
        <v>1.5</v>
      </c>
      <c r="G29" s="167"/>
      <c r="H29" s="168"/>
      <c r="I29" s="12"/>
      <c r="J29" s="166"/>
      <c r="K29" s="142"/>
      <c r="L29" s="12"/>
      <c r="M29" s="174" t="s">
        <v>992</v>
      </c>
      <c r="N29" s="165"/>
      <c r="O29" s="116">
        <v>1</v>
      </c>
      <c r="P29" s="154" t="s">
        <v>942</v>
      </c>
      <c r="Q29" s="155"/>
      <c r="R29" s="7">
        <v>0.5</v>
      </c>
    </row>
    <row r="30" spans="2:18" ht="19.5" customHeight="1" thickBot="1">
      <c r="B30" s="150"/>
      <c r="C30" s="140"/>
      <c r="D30" s="172" t="s">
        <v>967</v>
      </c>
      <c r="E30" s="173"/>
      <c r="F30" s="119">
        <v>0.5</v>
      </c>
      <c r="G30" s="172" t="s">
        <v>964</v>
      </c>
      <c r="H30" s="173"/>
      <c r="I30" s="119">
        <v>1.5</v>
      </c>
      <c r="J30" s="172" t="s">
        <v>964</v>
      </c>
      <c r="K30" s="173"/>
      <c r="L30" s="119">
        <v>1.5</v>
      </c>
      <c r="M30" s="161" t="s">
        <v>952</v>
      </c>
      <c r="N30" s="159"/>
      <c r="O30" s="34">
        <v>0.4</v>
      </c>
      <c r="P30" s="164" t="s">
        <v>992</v>
      </c>
      <c r="Q30" s="165"/>
      <c r="R30" s="119">
        <v>1</v>
      </c>
    </row>
    <row r="31" spans="2:18" ht="18.75" customHeight="1">
      <c r="B31" s="150"/>
      <c r="C31" s="138" t="s">
        <v>20</v>
      </c>
      <c r="D31" s="164" t="s">
        <v>993</v>
      </c>
      <c r="E31" s="165"/>
      <c r="F31" s="116">
        <v>1</v>
      </c>
      <c r="G31" s="164" t="s">
        <v>1004</v>
      </c>
      <c r="H31" s="142"/>
      <c r="I31" s="116">
        <v>1</v>
      </c>
      <c r="J31" s="164" t="s">
        <v>992</v>
      </c>
      <c r="K31" s="142"/>
      <c r="L31" s="12">
        <v>1</v>
      </c>
      <c r="M31" s="174" t="s">
        <v>964</v>
      </c>
      <c r="N31" s="165"/>
      <c r="O31" s="126">
        <v>1</v>
      </c>
      <c r="P31" s="169" t="s">
        <v>964</v>
      </c>
      <c r="Q31" s="170"/>
      <c r="R31" s="12">
        <v>0.9</v>
      </c>
    </row>
    <row r="32" spans="2:18" ht="18.75" customHeight="1">
      <c r="B32" s="150"/>
      <c r="C32" s="139"/>
      <c r="D32" s="164" t="s">
        <v>995</v>
      </c>
      <c r="E32" s="165"/>
      <c r="F32" s="116">
        <v>0.9</v>
      </c>
      <c r="G32" s="164" t="s">
        <v>992</v>
      </c>
      <c r="H32" s="171"/>
      <c r="I32" s="116">
        <v>1</v>
      </c>
      <c r="J32" s="166" t="s">
        <v>996</v>
      </c>
      <c r="K32" s="142"/>
      <c r="L32" s="116">
        <v>1.4</v>
      </c>
      <c r="M32" s="167" t="s">
        <v>960</v>
      </c>
      <c r="N32" s="168"/>
      <c r="O32" s="12">
        <v>1</v>
      </c>
      <c r="P32" s="167" t="s">
        <v>955</v>
      </c>
      <c r="Q32" s="168"/>
      <c r="R32" s="12">
        <v>1</v>
      </c>
    </row>
    <row r="33" spans="2:18" ht="18.75" customHeight="1">
      <c r="B33" s="150"/>
      <c r="C33" s="139"/>
      <c r="D33" s="164"/>
      <c r="E33" s="165"/>
      <c r="F33" s="116"/>
      <c r="G33" s="164" t="s">
        <v>996</v>
      </c>
      <c r="H33" s="165"/>
      <c r="I33" s="12">
        <v>0.5</v>
      </c>
      <c r="J33" s="166"/>
      <c r="K33" s="142"/>
      <c r="L33" s="116"/>
      <c r="M33" s="154" t="s">
        <v>943</v>
      </c>
      <c r="N33" s="155"/>
      <c r="O33" s="7">
        <v>0.5</v>
      </c>
      <c r="P33" s="167" t="s">
        <v>961</v>
      </c>
      <c r="Q33" s="168"/>
      <c r="R33" s="12">
        <v>0.5</v>
      </c>
    </row>
    <row r="34" spans="2:18" ht="18.75" customHeight="1">
      <c r="B34" s="150"/>
      <c r="C34" s="139"/>
      <c r="D34" s="167" t="s">
        <v>944</v>
      </c>
      <c r="E34" s="168"/>
      <c r="F34" s="12">
        <v>0.5</v>
      </c>
      <c r="G34" s="167" t="s">
        <v>944</v>
      </c>
      <c r="H34" s="168"/>
      <c r="I34" s="12">
        <v>0.5</v>
      </c>
      <c r="J34" s="167" t="s">
        <v>944</v>
      </c>
      <c r="K34" s="168"/>
      <c r="L34" s="12">
        <v>0.5</v>
      </c>
      <c r="M34" s="167" t="s">
        <v>944</v>
      </c>
      <c r="N34" s="168"/>
      <c r="O34" s="12">
        <v>0.5</v>
      </c>
      <c r="P34" s="167" t="s">
        <v>944</v>
      </c>
      <c r="Q34" s="168"/>
      <c r="R34" s="12">
        <v>0.5</v>
      </c>
    </row>
    <row r="35" spans="2:18" ht="19.5" customHeight="1" thickBot="1">
      <c r="B35" s="150"/>
      <c r="C35" s="140"/>
      <c r="D35" s="160" t="s">
        <v>940</v>
      </c>
      <c r="E35" s="159"/>
      <c r="F35" s="9">
        <v>0.75</v>
      </c>
      <c r="G35" s="161" t="s">
        <v>940</v>
      </c>
      <c r="H35" s="159"/>
      <c r="I35" s="9">
        <v>0.75</v>
      </c>
      <c r="J35" s="161" t="s">
        <v>940</v>
      </c>
      <c r="K35" s="159"/>
      <c r="L35" s="9">
        <v>0.75</v>
      </c>
      <c r="M35" s="161" t="s">
        <v>940</v>
      </c>
      <c r="N35" s="159"/>
      <c r="O35" s="9">
        <v>0.75</v>
      </c>
      <c r="P35" s="161" t="s">
        <v>940</v>
      </c>
      <c r="Q35" s="159"/>
      <c r="R35" s="9">
        <v>0.75</v>
      </c>
    </row>
    <row r="36" spans="2:18" ht="19.5" thickBot="1">
      <c r="B36" s="151"/>
      <c r="C36" s="18" t="s">
        <v>76</v>
      </c>
      <c r="D36" s="132"/>
      <c r="E36" s="132"/>
      <c r="F36" s="127">
        <f>SUM(F26:F35)</f>
        <v>7.75</v>
      </c>
      <c r="G36" s="132"/>
      <c r="H36" s="132"/>
      <c r="I36" s="127">
        <f>SUM(I26:I35)</f>
        <v>7.75</v>
      </c>
      <c r="J36" s="132"/>
      <c r="K36" s="132"/>
      <c r="L36" s="127">
        <f>SUM(L26:L35)</f>
        <v>7.75</v>
      </c>
      <c r="M36" s="132"/>
      <c r="N36" s="132"/>
      <c r="O36" s="127">
        <f>SUM(O26:O35)</f>
        <v>7.75</v>
      </c>
      <c r="P36" s="132"/>
      <c r="Q36" s="132"/>
      <c r="R36" s="127">
        <f>SUM(R26:R35)</f>
        <v>7.75</v>
      </c>
    </row>
    <row r="37" spans="2:18" ht="18.75" customHeight="1">
      <c r="B37" s="149" t="s">
        <v>926</v>
      </c>
      <c r="C37" s="138" t="s">
        <v>9</v>
      </c>
      <c r="D37" s="152" t="s">
        <v>927</v>
      </c>
      <c r="E37" s="153"/>
      <c r="F37" s="6">
        <v>0.5</v>
      </c>
      <c r="G37" s="152"/>
      <c r="H37" s="153"/>
      <c r="I37" s="6"/>
      <c r="J37" s="152" t="s">
        <v>927</v>
      </c>
      <c r="K37" s="153"/>
      <c r="L37" s="6">
        <v>0.5</v>
      </c>
      <c r="M37" s="152" t="s">
        <v>927</v>
      </c>
      <c r="N37" s="153"/>
      <c r="O37" s="6">
        <v>0.5</v>
      </c>
      <c r="P37" s="152" t="s">
        <v>927</v>
      </c>
      <c r="Q37" s="153"/>
      <c r="R37" s="6">
        <v>0.5</v>
      </c>
    </row>
    <row r="38" spans="2:18" ht="18.75" customHeight="1">
      <c r="B38" s="150"/>
      <c r="C38" s="139"/>
      <c r="D38" s="154" t="s">
        <v>969</v>
      </c>
      <c r="E38" s="155"/>
      <c r="F38" s="7">
        <v>1</v>
      </c>
      <c r="G38" s="154"/>
      <c r="H38" s="155"/>
      <c r="I38" s="7"/>
      <c r="J38" s="154" t="s">
        <v>969</v>
      </c>
      <c r="K38" s="155"/>
      <c r="L38" s="7">
        <v>1</v>
      </c>
      <c r="M38" s="154" t="s">
        <v>969</v>
      </c>
      <c r="N38" s="155"/>
      <c r="O38" s="7">
        <v>1.5</v>
      </c>
      <c r="P38" s="157" t="s">
        <v>1011</v>
      </c>
      <c r="Q38" s="155"/>
      <c r="R38" s="7">
        <v>1.5</v>
      </c>
    </row>
    <row r="39" spans="2:18" ht="18.75" customHeight="1">
      <c r="B39" s="150"/>
      <c r="C39" s="139"/>
      <c r="D39" s="157" t="s">
        <v>945</v>
      </c>
      <c r="E39" s="155"/>
      <c r="F39" s="7">
        <v>0.5</v>
      </c>
      <c r="G39" s="157"/>
      <c r="H39" s="155"/>
      <c r="I39" s="7"/>
      <c r="J39" s="157" t="s">
        <v>945</v>
      </c>
      <c r="K39" s="155"/>
      <c r="L39" s="7">
        <v>0.5</v>
      </c>
      <c r="M39" s="157"/>
      <c r="N39" s="155"/>
      <c r="O39" s="7"/>
      <c r="P39" s="157"/>
      <c r="Q39" s="155"/>
      <c r="R39" s="7"/>
    </row>
    <row r="40" spans="2:18" ht="18.75" customHeight="1">
      <c r="B40" s="150"/>
      <c r="C40" s="139"/>
      <c r="D40" s="162"/>
      <c r="E40" s="163"/>
      <c r="F40" s="7"/>
      <c r="G40" s="162"/>
      <c r="H40" s="163"/>
      <c r="I40" s="7"/>
      <c r="J40" s="162"/>
      <c r="K40" s="163"/>
      <c r="L40" s="7"/>
      <c r="M40" s="162"/>
      <c r="N40" s="163"/>
      <c r="O40" s="7"/>
      <c r="P40" s="162"/>
      <c r="Q40" s="163"/>
      <c r="R40" s="7"/>
    </row>
    <row r="41" spans="2:18" ht="19.5" customHeight="1" thickBot="1">
      <c r="B41" s="150"/>
      <c r="C41" s="140"/>
      <c r="D41" s="158"/>
      <c r="E41" s="159"/>
      <c r="F41" s="9"/>
      <c r="G41" s="158"/>
      <c r="H41" s="159"/>
      <c r="I41" s="9"/>
      <c r="J41" s="158"/>
      <c r="K41" s="159"/>
      <c r="L41" s="9"/>
      <c r="M41" s="158"/>
      <c r="N41" s="159"/>
      <c r="O41" s="9"/>
      <c r="P41" s="158"/>
      <c r="Q41" s="159"/>
      <c r="R41" s="9"/>
    </row>
    <row r="42" spans="2:18" ht="18.75" customHeight="1">
      <c r="B42" s="150"/>
      <c r="C42" s="138" t="s">
        <v>20</v>
      </c>
      <c r="D42" s="156" t="s">
        <v>969</v>
      </c>
      <c r="E42" s="153"/>
      <c r="F42" s="7">
        <v>3</v>
      </c>
      <c r="G42" s="156"/>
      <c r="H42" s="153"/>
      <c r="I42" s="7"/>
      <c r="J42" s="156" t="s">
        <v>969</v>
      </c>
      <c r="K42" s="153"/>
      <c r="L42" s="7">
        <v>3</v>
      </c>
      <c r="M42" s="156" t="s">
        <v>1010</v>
      </c>
      <c r="N42" s="153"/>
      <c r="O42" s="7">
        <v>3</v>
      </c>
      <c r="P42" s="156" t="s">
        <v>969</v>
      </c>
      <c r="Q42" s="153"/>
      <c r="R42" s="7">
        <v>3</v>
      </c>
    </row>
    <row r="43" spans="2:18" ht="18.75" customHeight="1">
      <c r="B43" s="150"/>
      <c r="C43" s="139"/>
      <c r="D43" s="147"/>
      <c r="E43" s="148"/>
      <c r="F43" s="111"/>
      <c r="G43" s="147"/>
      <c r="H43" s="148"/>
      <c r="I43" s="111"/>
      <c r="J43" s="147"/>
      <c r="K43" s="148"/>
      <c r="L43" s="111"/>
      <c r="M43" s="147"/>
      <c r="N43" s="148"/>
      <c r="O43" s="111"/>
      <c r="P43" s="147"/>
      <c r="Q43" s="148"/>
      <c r="R43" s="111"/>
    </row>
    <row r="44" spans="2:18" ht="18.75" customHeight="1">
      <c r="B44" s="150"/>
      <c r="C44" s="139"/>
      <c r="D44" s="157"/>
      <c r="E44" s="155"/>
      <c r="F44" s="7"/>
      <c r="G44" s="157"/>
      <c r="H44" s="155"/>
      <c r="I44" s="7"/>
      <c r="J44" s="157"/>
      <c r="K44" s="155"/>
      <c r="L44" s="7"/>
      <c r="M44" s="154"/>
      <c r="N44" s="155"/>
      <c r="O44" s="7"/>
      <c r="P44" s="157"/>
      <c r="Q44" s="155"/>
      <c r="R44" s="7"/>
    </row>
    <row r="45" spans="2:18" ht="18.75" customHeight="1">
      <c r="B45" s="150"/>
      <c r="C45" s="139"/>
      <c r="D45" s="157"/>
      <c r="E45" s="155"/>
      <c r="F45" s="7"/>
      <c r="G45" s="157"/>
      <c r="H45" s="155"/>
      <c r="I45" s="7"/>
      <c r="J45" s="157"/>
      <c r="K45" s="155"/>
      <c r="L45" s="7"/>
      <c r="M45" s="154"/>
      <c r="N45" s="155"/>
      <c r="O45" s="7"/>
      <c r="P45" s="157"/>
      <c r="Q45" s="155"/>
      <c r="R45" s="7"/>
    </row>
    <row r="46" spans="2:18" ht="19.5" customHeight="1" thickBot="1">
      <c r="B46" s="150"/>
      <c r="C46" s="140"/>
      <c r="D46" s="157"/>
      <c r="E46" s="155"/>
      <c r="F46" s="7"/>
      <c r="G46" s="157"/>
      <c r="H46" s="155"/>
      <c r="I46" s="7"/>
      <c r="J46" s="157"/>
      <c r="K46" s="155"/>
      <c r="L46" s="7"/>
      <c r="M46" s="161"/>
      <c r="N46" s="159"/>
      <c r="O46" s="9"/>
      <c r="P46" s="157"/>
      <c r="Q46" s="155"/>
      <c r="R46" s="7"/>
    </row>
    <row r="47" spans="2:18" ht="19.5" thickBot="1">
      <c r="B47" s="151"/>
      <c r="C47" s="18" t="s">
        <v>76</v>
      </c>
      <c r="D47" s="132"/>
      <c r="E47" s="132"/>
      <c r="F47" s="127">
        <f>SUM(F37:F46)</f>
        <v>5</v>
      </c>
      <c r="G47" s="132"/>
      <c r="H47" s="132"/>
      <c r="I47" s="127">
        <f>SUM(I37:I46)</f>
        <v>0</v>
      </c>
      <c r="J47" s="132"/>
      <c r="K47" s="132"/>
      <c r="L47" s="127">
        <f>SUM(L37:L46)</f>
        <v>5</v>
      </c>
      <c r="M47" s="132"/>
      <c r="N47" s="132"/>
      <c r="O47" s="127">
        <f>SUM(O37:O46)</f>
        <v>5</v>
      </c>
      <c r="P47" s="132"/>
      <c r="Q47" s="132"/>
      <c r="R47" s="127">
        <f>SUM(R37:R46)</f>
        <v>5</v>
      </c>
    </row>
    <row r="48" spans="2:18">
      <c r="B48" s="124"/>
      <c r="C48" s="125"/>
      <c r="F48" s="125"/>
      <c r="I48" s="125"/>
      <c r="L48" s="125"/>
      <c r="O48" s="125"/>
      <c r="R48" s="125"/>
    </row>
    <row r="49" spans="2:18">
      <c r="B49" s="124"/>
      <c r="C49" s="125"/>
      <c r="F49" s="125"/>
      <c r="I49" s="125"/>
      <c r="L49" s="125"/>
      <c r="O49" s="125"/>
      <c r="R49" s="125"/>
    </row>
    <row r="50" spans="2:18">
      <c r="B50" s="124"/>
      <c r="C50" s="125"/>
      <c r="F50" s="125"/>
      <c r="I50" s="125"/>
      <c r="L50" s="125"/>
      <c r="O50" s="125"/>
      <c r="R50" s="125"/>
    </row>
    <row r="52" spans="2:18">
      <c r="C52" s="137" t="s">
        <v>931</v>
      </c>
      <c r="D52" t="s">
        <v>932</v>
      </c>
    </row>
    <row r="53" spans="2:18">
      <c r="C53" s="137"/>
      <c r="D53" t="s">
        <v>933</v>
      </c>
    </row>
    <row r="54" spans="2:18">
      <c r="C54" s="137"/>
      <c r="D54" t="s">
        <v>934</v>
      </c>
    </row>
    <row r="55" spans="2:18">
      <c r="C55" s="137"/>
      <c r="D55" t="s">
        <v>930</v>
      </c>
    </row>
  </sheetData>
  <mergeCells count="231"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  <mergeCell ref="Q2:Q3"/>
    <mergeCell ref="R2:R3"/>
    <mergeCell ref="B4:B14"/>
    <mergeCell ref="C4:C8"/>
    <mergeCell ref="D4:E4"/>
    <mergeCell ref="G4:H4"/>
    <mergeCell ref="J4:K4"/>
    <mergeCell ref="M4:N4"/>
    <mergeCell ref="P4:Q4"/>
    <mergeCell ref="D5:E5"/>
    <mergeCell ref="K2:K3"/>
    <mergeCell ref="L2:L3"/>
    <mergeCell ref="M2:M3"/>
    <mergeCell ref="N2:N3"/>
    <mergeCell ref="O2:O3"/>
    <mergeCell ref="P2:P3"/>
    <mergeCell ref="G5:H5"/>
    <mergeCell ref="J5:K5"/>
    <mergeCell ref="M5:N5"/>
    <mergeCell ref="P5:Q5"/>
    <mergeCell ref="D6:E6"/>
    <mergeCell ref="G6:H6"/>
    <mergeCell ref="J6:K6"/>
    <mergeCell ref="M6:N6"/>
    <mergeCell ref="P6:Q6"/>
    <mergeCell ref="D7:E7"/>
    <mergeCell ref="G7:H7"/>
    <mergeCell ref="J7:K7"/>
    <mergeCell ref="M7:N7"/>
    <mergeCell ref="P7:Q7"/>
    <mergeCell ref="D8:E8"/>
    <mergeCell ref="G8:H8"/>
    <mergeCell ref="J8:K8"/>
    <mergeCell ref="M8:N8"/>
    <mergeCell ref="P8:Q8"/>
    <mergeCell ref="P10:Q10"/>
    <mergeCell ref="D11:E11"/>
    <mergeCell ref="G11:H11"/>
    <mergeCell ref="J11:K11"/>
    <mergeCell ref="M11:N11"/>
    <mergeCell ref="P11:Q11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2:E12"/>
    <mergeCell ref="G12:H12"/>
    <mergeCell ref="J12:K12"/>
    <mergeCell ref="M12:N12"/>
    <mergeCell ref="P12:Q12"/>
    <mergeCell ref="D13:E13"/>
    <mergeCell ref="G13:H13"/>
    <mergeCell ref="J13:K13"/>
    <mergeCell ref="M13:N13"/>
    <mergeCell ref="P13:Q13"/>
    <mergeCell ref="P15:Q15"/>
    <mergeCell ref="D16:E16"/>
    <mergeCell ref="G16:H16"/>
    <mergeCell ref="J16:K16"/>
    <mergeCell ref="M16:N16"/>
    <mergeCell ref="P16:Q16"/>
    <mergeCell ref="B15:B25"/>
    <mergeCell ref="C15:C19"/>
    <mergeCell ref="D15:E15"/>
    <mergeCell ref="G15:H15"/>
    <mergeCell ref="J15:K15"/>
    <mergeCell ref="M15:N15"/>
    <mergeCell ref="D17:E17"/>
    <mergeCell ref="G17:H17"/>
    <mergeCell ref="J17:K17"/>
    <mergeCell ref="M17:N17"/>
    <mergeCell ref="C20:C24"/>
    <mergeCell ref="D20:E20"/>
    <mergeCell ref="G20:H20"/>
    <mergeCell ref="J20:K20"/>
    <mergeCell ref="M20:N20"/>
    <mergeCell ref="P17:Q17"/>
    <mergeCell ref="D18:E18"/>
    <mergeCell ref="G18:H18"/>
    <mergeCell ref="J18:K18"/>
    <mergeCell ref="M18:N18"/>
    <mergeCell ref="P18:Q18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D24:E24"/>
    <mergeCell ref="G24:H24"/>
    <mergeCell ref="J24:K24"/>
    <mergeCell ref="M24:N24"/>
    <mergeCell ref="P24:Q24"/>
    <mergeCell ref="D26:E26"/>
    <mergeCell ref="G26:H26"/>
    <mergeCell ref="J26:K26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  <mergeCell ref="G29:H29"/>
    <mergeCell ref="J29:K29"/>
    <mergeCell ref="M29:N29"/>
    <mergeCell ref="P29:Q29"/>
    <mergeCell ref="M26:N26"/>
    <mergeCell ref="P26:Q26"/>
    <mergeCell ref="D27:E27"/>
    <mergeCell ref="G27:H27"/>
    <mergeCell ref="J27:K27"/>
    <mergeCell ref="M27:N27"/>
    <mergeCell ref="P27:Q27"/>
    <mergeCell ref="P30:Q30"/>
    <mergeCell ref="C31:C35"/>
    <mergeCell ref="D31:E31"/>
    <mergeCell ref="G31:H31"/>
    <mergeCell ref="J31:K31"/>
    <mergeCell ref="M31:N31"/>
    <mergeCell ref="C26:C30"/>
    <mergeCell ref="P33:Q33"/>
    <mergeCell ref="D34:E34"/>
    <mergeCell ref="G34:H34"/>
    <mergeCell ref="J34:K34"/>
    <mergeCell ref="M34:N34"/>
    <mergeCell ref="P34:Q34"/>
    <mergeCell ref="P31:Q31"/>
    <mergeCell ref="D32:E32"/>
    <mergeCell ref="G32:H32"/>
    <mergeCell ref="J32:K32"/>
    <mergeCell ref="M32:N32"/>
    <mergeCell ref="P32:Q32"/>
    <mergeCell ref="D28:E28"/>
    <mergeCell ref="G28:H28"/>
    <mergeCell ref="J28:K28"/>
    <mergeCell ref="M28:N28"/>
    <mergeCell ref="P28:Q28"/>
    <mergeCell ref="B37:B47"/>
    <mergeCell ref="C37:C41"/>
    <mergeCell ref="D37:E37"/>
    <mergeCell ref="G37:H37"/>
    <mergeCell ref="J37:K37"/>
    <mergeCell ref="D33:E33"/>
    <mergeCell ref="G33:H33"/>
    <mergeCell ref="J33:K33"/>
    <mergeCell ref="M33:N33"/>
    <mergeCell ref="B26:B36"/>
    <mergeCell ref="M37:N37"/>
    <mergeCell ref="D39:E39"/>
    <mergeCell ref="G39:H39"/>
    <mergeCell ref="J39:K39"/>
    <mergeCell ref="M39:N39"/>
    <mergeCell ref="D46:E46"/>
    <mergeCell ref="G46:H46"/>
    <mergeCell ref="J46:K46"/>
    <mergeCell ref="M46:N46"/>
    <mergeCell ref="D30:E30"/>
    <mergeCell ref="G30:H30"/>
    <mergeCell ref="J30:K30"/>
    <mergeCell ref="M30:N30"/>
    <mergeCell ref="D29:E29"/>
    <mergeCell ref="P37:Q37"/>
    <mergeCell ref="D38:E38"/>
    <mergeCell ref="G38:H38"/>
    <mergeCell ref="J38:K38"/>
    <mergeCell ref="M38:N38"/>
    <mergeCell ref="P38:Q38"/>
    <mergeCell ref="D35:E35"/>
    <mergeCell ref="G35:H35"/>
    <mergeCell ref="J35:K35"/>
    <mergeCell ref="M35:N35"/>
    <mergeCell ref="P35:Q35"/>
    <mergeCell ref="P39:Q39"/>
    <mergeCell ref="D40:E40"/>
    <mergeCell ref="G40:H40"/>
    <mergeCell ref="J40:K40"/>
    <mergeCell ref="M40:N40"/>
    <mergeCell ref="P40:Q40"/>
    <mergeCell ref="P42:Q42"/>
    <mergeCell ref="D43:E43"/>
    <mergeCell ref="G43:H43"/>
    <mergeCell ref="J43:K43"/>
    <mergeCell ref="M43:N43"/>
    <mergeCell ref="P43:Q43"/>
    <mergeCell ref="D41:E41"/>
    <mergeCell ref="G41:H41"/>
    <mergeCell ref="J41:K41"/>
    <mergeCell ref="M41:N41"/>
    <mergeCell ref="P41:Q41"/>
    <mergeCell ref="D42:E42"/>
    <mergeCell ref="G42:H42"/>
    <mergeCell ref="J42:K42"/>
    <mergeCell ref="M42:N42"/>
    <mergeCell ref="P46:Q46"/>
    <mergeCell ref="C52:C55"/>
    <mergeCell ref="D44:E44"/>
    <mergeCell ref="G44:H44"/>
    <mergeCell ref="J44:K44"/>
    <mergeCell ref="M44:N44"/>
    <mergeCell ref="P44:Q44"/>
    <mergeCell ref="D45:E45"/>
    <mergeCell ref="G45:H45"/>
    <mergeCell ref="J45:K45"/>
    <mergeCell ref="M45:N45"/>
    <mergeCell ref="P45:Q45"/>
    <mergeCell ref="C42:C46"/>
  </mergeCells>
  <phoneticPr fontId="1"/>
  <pageMargins left="0.7" right="0.7" top="0.75" bottom="0.75" header="0.3" footer="0.3"/>
  <pageSetup paperSize="8" scale="66" fitToHeight="0" orientation="landscape" horizontalDpi="1200" verticalDpi="12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713CF-B164-4998-8C12-4B6351DC6A4F}">
  <sheetPr>
    <pageSetUpPr fitToPage="1"/>
  </sheetPr>
  <dimension ref="B1:S53"/>
  <sheetViews>
    <sheetView view="pageBreakPreview" zoomScale="70" zoomScaleNormal="70" zoomScaleSheetLayoutView="70" workbookViewId="0">
      <selection activeCell="D4" sqref="D4:E4"/>
    </sheetView>
  </sheetViews>
  <sheetFormatPr defaultRowHeight="18.75"/>
  <cols>
    <col min="1" max="1" width="2.5" customWidth="1"/>
    <col min="4" max="18" width="16" customWidth="1"/>
  </cols>
  <sheetData>
    <row r="1" spans="2:19" ht="24.75" thickBot="1">
      <c r="D1" s="53">
        <v>46083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19" s="5" customFormat="1">
      <c r="B2" s="201"/>
      <c r="C2" s="202"/>
      <c r="D2" s="205">
        <f>D1</f>
        <v>46083</v>
      </c>
      <c r="E2" s="195" t="s">
        <v>3</v>
      </c>
      <c r="F2" s="191" t="s">
        <v>4</v>
      </c>
      <c r="G2" s="197">
        <f>D2+1</f>
        <v>46084</v>
      </c>
      <c r="H2" s="195" t="s">
        <v>5</v>
      </c>
      <c r="I2" s="191" t="s">
        <v>4</v>
      </c>
      <c r="J2" s="197">
        <f>G2+1</f>
        <v>46085</v>
      </c>
      <c r="K2" s="195" t="s">
        <v>6</v>
      </c>
      <c r="L2" s="191" t="s">
        <v>4</v>
      </c>
      <c r="M2" s="197">
        <f>J2+1</f>
        <v>46086</v>
      </c>
      <c r="N2" s="195" t="s">
        <v>7</v>
      </c>
      <c r="O2" s="191" t="s">
        <v>4</v>
      </c>
      <c r="P2" s="197">
        <f>M2+1</f>
        <v>46087</v>
      </c>
      <c r="Q2" s="195" t="s">
        <v>8</v>
      </c>
      <c r="R2" s="191" t="s">
        <v>4</v>
      </c>
    </row>
    <row r="3" spans="2:19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19" ht="18.75" customHeight="1">
      <c r="B4" s="149" t="s">
        <v>32</v>
      </c>
      <c r="C4" s="138" t="s">
        <v>9</v>
      </c>
      <c r="D4" s="193" t="s">
        <v>928</v>
      </c>
      <c r="E4" s="194"/>
      <c r="F4" s="75">
        <v>0.5</v>
      </c>
      <c r="G4" s="193" t="s">
        <v>928</v>
      </c>
      <c r="H4" s="194"/>
      <c r="I4" s="75">
        <v>0.5</v>
      </c>
      <c r="J4" s="193"/>
      <c r="K4" s="194"/>
      <c r="L4" s="75"/>
      <c r="M4" s="193" t="s">
        <v>928</v>
      </c>
      <c r="N4" s="194"/>
      <c r="O4" s="75">
        <v>0.5</v>
      </c>
      <c r="P4" s="193" t="s">
        <v>928</v>
      </c>
      <c r="Q4" s="194"/>
      <c r="R4" s="75">
        <v>0.5</v>
      </c>
      <c r="S4" s="95"/>
    </row>
    <row r="5" spans="2:19">
      <c r="B5" s="150"/>
      <c r="C5" s="139"/>
      <c r="D5" s="183" t="s">
        <v>950</v>
      </c>
      <c r="E5" s="184"/>
      <c r="F5" s="32">
        <v>0.5</v>
      </c>
      <c r="G5" s="183" t="s">
        <v>950</v>
      </c>
      <c r="H5" s="184"/>
      <c r="I5" s="32">
        <v>0.5</v>
      </c>
      <c r="J5" s="183"/>
      <c r="K5" s="184"/>
      <c r="L5" s="32"/>
      <c r="M5" s="183" t="s">
        <v>950</v>
      </c>
      <c r="N5" s="184"/>
      <c r="O5" s="32">
        <v>0.5</v>
      </c>
      <c r="P5" s="183" t="s">
        <v>950</v>
      </c>
      <c r="Q5" s="184"/>
      <c r="R5" s="111">
        <v>0.5</v>
      </c>
      <c r="S5" s="95"/>
    </row>
    <row r="6" spans="2:19">
      <c r="B6" s="150"/>
      <c r="C6" s="139"/>
      <c r="D6" s="147" t="s">
        <v>986</v>
      </c>
      <c r="E6" s="148"/>
      <c r="F6" s="111">
        <v>1.5</v>
      </c>
      <c r="G6" s="147" t="s">
        <v>971</v>
      </c>
      <c r="H6" s="148"/>
      <c r="I6" s="111">
        <v>0.5</v>
      </c>
      <c r="J6" s="147"/>
      <c r="K6" s="148"/>
      <c r="L6" s="111"/>
      <c r="M6" s="185" t="s">
        <v>750</v>
      </c>
      <c r="N6" s="186"/>
      <c r="O6" s="32">
        <v>1</v>
      </c>
      <c r="P6" s="147"/>
      <c r="Q6" s="148"/>
      <c r="R6" s="111"/>
      <c r="S6" s="95"/>
    </row>
    <row r="7" spans="2:19">
      <c r="B7" s="150"/>
      <c r="C7" s="139"/>
      <c r="D7" s="187"/>
      <c r="E7" s="182"/>
      <c r="F7" s="111"/>
      <c r="G7" s="187" t="s">
        <v>986</v>
      </c>
      <c r="H7" s="182"/>
      <c r="I7" s="111">
        <v>0.5</v>
      </c>
      <c r="J7" s="187"/>
      <c r="K7" s="182"/>
      <c r="L7" s="111"/>
      <c r="M7" s="187"/>
      <c r="N7" s="182"/>
      <c r="O7" s="111"/>
      <c r="P7" s="188"/>
      <c r="Q7" s="148"/>
      <c r="R7" s="111"/>
      <c r="S7" s="8"/>
    </row>
    <row r="8" spans="2:19" ht="19.5" thickBot="1">
      <c r="B8" s="150"/>
      <c r="C8" s="140"/>
      <c r="D8" s="189" t="s">
        <v>957</v>
      </c>
      <c r="E8" s="190"/>
      <c r="F8" s="120">
        <v>0.5</v>
      </c>
      <c r="G8" s="189" t="s">
        <v>957</v>
      </c>
      <c r="H8" s="190"/>
      <c r="I8" s="120">
        <v>0.5</v>
      </c>
      <c r="J8" s="189"/>
      <c r="K8" s="190"/>
      <c r="L8" s="120"/>
      <c r="M8" s="189" t="s">
        <v>937</v>
      </c>
      <c r="N8" s="190"/>
      <c r="O8" s="120">
        <v>1</v>
      </c>
      <c r="P8" s="189" t="s">
        <v>959</v>
      </c>
      <c r="Q8" s="190"/>
      <c r="R8" s="120">
        <v>2</v>
      </c>
      <c r="S8" s="96"/>
    </row>
    <row r="9" spans="2:19" ht="18.75" customHeight="1">
      <c r="B9" s="150"/>
      <c r="C9" s="138" t="s">
        <v>20</v>
      </c>
      <c r="D9" s="147" t="s">
        <v>987</v>
      </c>
      <c r="E9" s="148"/>
      <c r="F9" s="111">
        <v>3.25</v>
      </c>
      <c r="G9" s="147" t="s">
        <v>987</v>
      </c>
      <c r="H9" s="148"/>
      <c r="I9" s="111">
        <v>1.75</v>
      </c>
      <c r="J9" s="147" t="s">
        <v>987</v>
      </c>
      <c r="K9" s="148"/>
      <c r="L9" s="111">
        <v>3.25</v>
      </c>
      <c r="M9" s="147" t="s">
        <v>987</v>
      </c>
      <c r="N9" s="148"/>
      <c r="O9" s="111">
        <v>3.25</v>
      </c>
      <c r="P9" s="147" t="s">
        <v>987</v>
      </c>
      <c r="Q9" s="148"/>
      <c r="R9" s="111">
        <v>3.25</v>
      </c>
      <c r="S9" s="11"/>
    </row>
    <row r="10" spans="2:19" ht="18.75" customHeight="1">
      <c r="B10" s="150"/>
      <c r="C10" s="139"/>
      <c r="D10" s="147"/>
      <c r="E10" s="148"/>
      <c r="F10" s="111"/>
      <c r="G10" s="147" t="s">
        <v>988</v>
      </c>
      <c r="H10" s="148"/>
      <c r="I10" s="111">
        <v>2</v>
      </c>
      <c r="J10" s="147"/>
      <c r="K10" s="148"/>
      <c r="L10" s="111"/>
      <c r="M10" s="147"/>
      <c r="N10" s="148"/>
      <c r="O10" s="111"/>
      <c r="P10" s="147"/>
      <c r="Q10" s="148"/>
      <c r="R10" s="111"/>
      <c r="S10" s="11"/>
    </row>
    <row r="11" spans="2:19" ht="18.75" customHeight="1">
      <c r="B11" s="150"/>
      <c r="C11" s="139"/>
      <c r="D11" s="147"/>
      <c r="E11" s="148"/>
      <c r="F11" s="111"/>
      <c r="G11" s="147"/>
      <c r="H11" s="148"/>
      <c r="I11" s="111"/>
      <c r="J11" s="147"/>
      <c r="K11" s="148"/>
      <c r="L11" s="111"/>
      <c r="M11" s="147"/>
      <c r="N11" s="148"/>
      <c r="O11" s="111"/>
      <c r="P11" s="147"/>
      <c r="Q11" s="148"/>
      <c r="R11" s="111"/>
      <c r="S11" s="96"/>
    </row>
    <row r="12" spans="2:19" ht="18.75" customHeight="1">
      <c r="B12" s="150"/>
      <c r="C12" s="139"/>
      <c r="D12" s="183" t="s">
        <v>848</v>
      </c>
      <c r="E12" s="184"/>
      <c r="F12" s="111">
        <v>0.5</v>
      </c>
      <c r="G12" s="183" t="s">
        <v>848</v>
      </c>
      <c r="H12" s="184"/>
      <c r="I12" s="111">
        <v>0.5</v>
      </c>
      <c r="J12" s="183" t="s">
        <v>848</v>
      </c>
      <c r="K12" s="184"/>
      <c r="L12" s="111">
        <v>0.5</v>
      </c>
      <c r="M12" s="185" t="s">
        <v>848</v>
      </c>
      <c r="N12" s="186"/>
      <c r="O12" s="111">
        <v>0.5</v>
      </c>
      <c r="P12" s="183" t="s">
        <v>848</v>
      </c>
      <c r="Q12" s="184"/>
      <c r="R12" s="111">
        <v>0.5</v>
      </c>
      <c r="S12" s="96"/>
    </row>
    <row r="13" spans="2:19" ht="19.5" customHeight="1" thickBot="1">
      <c r="B13" s="150"/>
      <c r="C13" s="140"/>
      <c r="D13" s="178" t="s">
        <v>948</v>
      </c>
      <c r="E13" s="179"/>
      <c r="F13" s="59">
        <v>1</v>
      </c>
      <c r="G13" s="178" t="s">
        <v>949</v>
      </c>
      <c r="H13" s="179"/>
      <c r="I13" s="59">
        <v>1</v>
      </c>
      <c r="J13" s="178" t="s">
        <v>949</v>
      </c>
      <c r="K13" s="179"/>
      <c r="L13" s="59">
        <v>1</v>
      </c>
      <c r="M13" s="178" t="s">
        <v>949</v>
      </c>
      <c r="N13" s="179"/>
      <c r="O13" s="59">
        <v>1</v>
      </c>
      <c r="P13" s="178" t="s">
        <v>949</v>
      </c>
      <c r="Q13" s="179"/>
      <c r="R13" s="59">
        <v>1</v>
      </c>
    </row>
    <row r="14" spans="2:19" ht="19.5" thickBot="1">
      <c r="B14" s="151"/>
      <c r="C14" s="18" t="s">
        <v>76</v>
      </c>
      <c r="D14" s="132"/>
      <c r="E14" s="132"/>
      <c r="F14" s="127">
        <f>SUM(F4:F13)</f>
        <v>7.75</v>
      </c>
      <c r="G14" s="132"/>
      <c r="H14" s="132"/>
      <c r="I14" s="127">
        <f>SUM(I4:I13)</f>
        <v>7.75</v>
      </c>
      <c r="J14" s="132"/>
      <c r="K14" s="132"/>
      <c r="L14" s="127">
        <f>SUM(L4:L13)</f>
        <v>4.75</v>
      </c>
      <c r="M14" s="132"/>
      <c r="N14" s="132"/>
      <c r="O14" s="127">
        <f>SUM(O4:O13)</f>
        <v>7.75</v>
      </c>
      <c r="P14" s="132"/>
      <c r="Q14" s="132"/>
      <c r="R14" s="127">
        <f>SUM(R4:R13)</f>
        <v>7.75</v>
      </c>
    </row>
    <row r="15" spans="2:19" ht="18.75" customHeight="1">
      <c r="B15" s="149" t="s">
        <v>65</v>
      </c>
      <c r="C15" s="138" t="s">
        <v>9</v>
      </c>
      <c r="D15" s="143" t="s">
        <v>953</v>
      </c>
      <c r="E15" s="144"/>
      <c r="F15" s="128">
        <v>0.5</v>
      </c>
      <c r="G15" s="166" t="s">
        <v>962</v>
      </c>
      <c r="H15" s="142"/>
      <c r="I15" s="128">
        <v>3</v>
      </c>
      <c r="J15" s="177" t="s">
        <v>671</v>
      </c>
      <c r="K15" s="136"/>
      <c r="L15" s="128">
        <v>0.5</v>
      </c>
      <c r="M15" s="177" t="s">
        <v>972</v>
      </c>
      <c r="N15" s="136"/>
      <c r="O15" s="128">
        <v>1.5</v>
      </c>
      <c r="P15" s="180" t="s">
        <v>671</v>
      </c>
      <c r="Q15" s="144"/>
      <c r="R15" s="128">
        <v>0.25</v>
      </c>
    </row>
    <row r="16" spans="2:19" ht="18.75" customHeight="1">
      <c r="B16" s="150"/>
      <c r="C16" s="139"/>
      <c r="D16" s="135" t="s">
        <v>970</v>
      </c>
      <c r="E16" s="136"/>
      <c r="F16" s="129">
        <v>4</v>
      </c>
      <c r="G16" s="177"/>
      <c r="H16" s="136"/>
      <c r="I16" s="129"/>
      <c r="J16" s="177" t="s">
        <v>973</v>
      </c>
      <c r="K16" s="136"/>
      <c r="L16" s="129">
        <v>2</v>
      </c>
      <c r="M16" s="177" t="s">
        <v>973</v>
      </c>
      <c r="N16" s="136"/>
      <c r="O16" s="129">
        <v>1.5</v>
      </c>
      <c r="P16" s="177" t="s">
        <v>974</v>
      </c>
      <c r="Q16" s="136"/>
      <c r="R16" s="129">
        <v>1.5</v>
      </c>
    </row>
    <row r="17" spans="2:18" ht="18.75" customHeight="1">
      <c r="B17" s="150"/>
      <c r="C17" s="139"/>
      <c r="D17" s="135"/>
      <c r="E17" s="136"/>
      <c r="F17" s="129"/>
      <c r="G17" s="166"/>
      <c r="H17" s="142"/>
      <c r="I17" s="129"/>
      <c r="J17" s="177" t="s">
        <v>975</v>
      </c>
      <c r="K17" s="136"/>
      <c r="L17" s="129">
        <v>0.75</v>
      </c>
      <c r="M17" s="177" t="s">
        <v>976</v>
      </c>
      <c r="N17" s="136"/>
      <c r="O17" s="129">
        <v>1</v>
      </c>
      <c r="P17" s="177" t="s">
        <v>977</v>
      </c>
      <c r="Q17" s="136"/>
      <c r="R17" s="129">
        <v>0.5</v>
      </c>
    </row>
    <row r="18" spans="2:18" ht="18.75" customHeight="1">
      <c r="B18" s="150"/>
      <c r="C18" s="139"/>
      <c r="D18" s="141"/>
      <c r="E18" s="142"/>
      <c r="F18" s="129"/>
      <c r="G18" s="177"/>
      <c r="H18" s="136"/>
      <c r="I18" s="130"/>
      <c r="J18" s="177"/>
      <c r="K18" s="136"/>
      <c r="L18" s="130"/>
      <c r="M18" s="177"/>
      <c r="N18" s="136"/>
      <c r="O18" s="130"/>
      <c r="P18" s="177" t="s">
        <v>978</v>
      </c>
      <c r="Q18" s="136"/>
      <c r="R18" s="130">
        <v>0.75</v>
      </c>
    </row>
    <row r="19" spans="2:18" ht="19.5" customHeight="1" thickBot="1">
      <c r="B19" s="150"/>
      <c r="C19" s="140"/>
      <c r="D19" s="145"/>
      <c r="E19" s="146"/>
      <c r="F19" s="131"/>
      <c r="G19" s="176"/>
      <c r="H19" s="146"/>
      <c r="I19" s="131"/>
      <c r="J19" s="176" t="s">
        <v>963</v>
      </c>
      <c r="K19" s="146"/>
      <c r="L19" s="131">
        <v>0.5</v>
      </c>
      <c r="M19" s="176"/>
      <c r="N19" s="146"/>
      <c r="O19" s="131"/>
      <c r="P19" s="176"/>
      <c r="Q19" s="146"/>
      <c r="R19" s="131"/>
    </row>
    <row r="20" spans="2:18" ht="18.75" customHeight="1">
      <c r="B20" s="150"/>
      <c r="C20" s="138" t="s">
        <v>20</v>
      </c>
      <c r="D20" s="143" t="s">
        <v>966</v>
      </c>
      <c r="E20" s="144"/>
      <c r="F20" s="128">
        <v>1</v>
      </c>
      <c r="G20" s="177" t="s">
        <v>962</v>
      </c>
      <c r="H20" s="136"/>
      <c r="I20" s="129">
        <v>4</v>
      </c>
      <c r="J20" s="177" t="s">
        <v>966</v>
      </c>
      <c r="K20" s="136"/>
      <c r="L20" s="129">
        <v>1</v>
      </c>
      <c r="M20" s="177" t="s">
        <v>966</v>
      </c>
      <c r="N20" s="136"/>
      <c r="O20" s="129">
        <v>1</v>
      </c>
      <c r="P20" s="177" t="s">
        <v>966</v>
      </c>
      <c r="Q20" s="136"/>
      <c r="R20" s="129">
        <v>1</v>
      </c>
    </row>
    <row r="21" spans="2:18" ht="18.75" customHeight="1">
      <c r="B21" s="150"/>
      <c r="C21" s="139"/>
      <c r="D21" s="135" t="s">
        <v>979</v>
      </c>
      <c r="E21" s="136"/>
      <c r="F21" s="129">
        <v>1</v>
      </c>
      <c r="G21" s="166"/>
      <c r="H21" s="142"/>
      <c r="I21" s="129"/>
      <c r="J21" s="177" t="s">
        <v>980</v>
      </c>
      <c r="K21" s="136"/>
      <c r="L21" s="129">
        <v>2.25</v>
      </c>
      <c r="M21" s="177" t="s">
        <v>981</v>
      </c>
      <c r="N21" s="136"/>
      <c r="O21" s="129">
        <v>0.5</v>
      </c>
      <c r="P21" s="177" t="s">
        <v>982</v>
      </c>
      <c r="Q21" s="136"/>
      <c r="R21" s="129">
        <v>1</v>
      </c>
    </row>
    <row r="22" spans="2:18" ht="18.75" customHeight="1">
      <c r="B22" s="150"/>
      <c r="C22" s="139"/>
      <c r="D22" s="135" t="s">
        <v>983</v>
      </c>
      <c r="E22" s="136"/>
      <c r="F22" s="129">
        <v>0.5</v>
      </c>
      <c r="G22" s="166"/>
      <c r="H22" s="142"/>
      <c r="I22" s="129"/>
      <c r="J22" s="177"/>
      <c r="K22" s="136"/>
      <c r="L22" s="129"/>
      <c r="M22" s="177" t="s">
        <v>984</v>
      </c>
      <c r="N22" s="136"/>
      <c r="O22" s="129">
        <v>1.5</v>
      </c>
      <c r="P22" s="177" t="s">
        <v>985</v>
      </c>
      <c r="Q22" s="136"/>
      <c r="R22" s="129">
        <v>2</v>
      </c>
    </row>
    <row r="23" spans="2:18" ht="18.75" customHeight="1">
      <c r="B23" s="150"/>
      <c r="C23" s="139"/>
      <c r="D23" s="135" t="s">
        <v>954</v>
      </c>
      <c r="E23" s="136"/>
      <c r="F23" s="129">
        <v>0.75</v>
      </c>
      <c r="G23" s="177" t="s">
        <v>954</v>
      </c>
      <c r="H23" s="136"/>
      <c r="I23" s="129">
        <v>0.75</v>
      </c>
      <c r="J23" s="177" t="s">
        <v>954</v>
      </c>
      <c r="K23" s="136"/>
      <c r="L23" s="129">
        <v>0.75</v>
      </c>
      <c r="M23" s="177" t="s">
        <v>954</v>
      </c>
      <c r="N23" s="136"/>
      <c r="O23" s="129">
        <v>0.75</v>
      </c>
      <c r="P23" s="177" t="s">
        <v>954</v>
      </c>
      <c r="Q23" s="136"/>
      <c r="R23" s="129">
        <v>0.75</v>
      </c>
    </row>
    <row r="24" spans="2:18" ht="19.5" customHeight="1" thickBot="1">
      <c r="B24" s="150"/>
      <c r="C24" s="140"/>
      <c r="D24" s="135" t="s">
        <v>110</v>
      </c>
      <c r="E24" s="136"/>
      <c r="F24" s="129"/>
      <c r="G24" s="176" t="s">
        <v>110</v>
      </c>
      <c r="H24" s="146"/>
      <c r="I24" s="131"/>
      <c r="J24" s="176" t="s">
        <v>110</v>
      </c>
      <c r="K24" s="146"/>
      <c r="L24" s="131"/>
      <c r="M24" s="176" t="s">
        <v>110</v>
      </c>
      <c r="N24" s="146"/>
      <c r="O24" s="131"/>
      <c r="P24" s="176" t="s">
        <v>110</v>
      </c>
      <c r="Q24" s="146"/>
      <c r="R24" s="131"/>
    </row>
    <row r="25" spans="2:18" ht="19.5" thickBot="1">
      <c r="B25" s="151"/>
      <c r="C25" s="18" t="s">
        <v>76</v>
      </c>
      <c r="D25" s="132"/>
      <c r="E25" s="132"/>
      <c r="F25" s="127">
        <f>SUM(F15:F24)</f>
        <v>7.75</v>
      </c>
      <c r="G25" s="132"/>
      <c r="H25" s="132"/>
      <c r="I25" s="127">
        <f>SUM(I15:I24)</f>
        <v>7.75</v>
      </c>
      <c r="J25" s="132"/>
      <c r="K25" s="132"/>
      <c r="L25" s="127">
        <f>SUM(L15:L24)</f>
        <v>7.75</v>
      </c>
      <c r="M25" s="132"/>
      <c r="N25" s="132"/>
      <c r="O25" s="127">
        <f>SUM(O15:O24)</f>
        <v>7.75</v>
      </c>
      <c r="P25" s="132"/>
      <c r="Q25" s="132"/>
      <c r="R25" s="127">
        <f>SUM(R15:R24)</f>
        <v>7.75</v>
      </c>
    </row>
    <row r="26" spans="2:18" ht="18.75" customHeight="1">
      <c r="B26" s="149" t="s">
        <v>938</v>
      </c>
      <c r="C26" s="138" t="s">
        <v>9</v>
      </c>
      <c r="D26" s="156" t="s">
        <v>939</v>
      </c>
      <c r="E26" s="153"/>
      <c r="F26" s="6">
        <v>1.5</v>
      </c>
      <c r="G26" s="156" t="s">
        <v>946</v>
      </c>
      <c r="H26" s="153"/>
      <c r="I26" s="6">
        <v>1.5</v>
      </c>
      <c r="J26" s="156" t="s">
        <v>946</v>
      </c>
      <c r="K26" s="153"/>
      <c r="L26" s="6">
        <v>1.5</v>
      </c>
      <c r="M26" s="156" t="s">
        <v>947</v>
      </c>
      <c r="N26" s="153"/>
      <c r="O26" s="6">
        <v>1.5</v>
      </c>
      <c r="P26" s="156" t="s">
        <v>947</v>
      </c>
      <c r="Q26" s="153"/>
      <c r="R26" s="6">
        <v>1.5</v>
      </c>
    </row>
    <row r="27" spans="2:18" ht="18.75" customHeight="1">
      <c r="B27" s="150"/>
      <c r="C27" s="139"/>
      <c r="D27" s="175" t="s">
        <v>941</v>
      </c>
      <c r="E27" s="168"/>
      <c r="F27" s="7">
        <v>0.1</v>
      </c>
      <c r="G27" s="175" t="s">
        <v>990</v>
      </c>
      <c r="H27" s="168"/>
      <c r="I27" s="7">
        <v>0.1</v>
      </c>
      <c r="J27" s="175" t="s">
        <v>941</v>
      </c>
      <c r="K27" s="168"/>
      <c r="L27" s="7">
        <v>0.1</v>
      </c>
      <c r="M27" s="175" t="s">
        <v>941</v>
      </c>
      <c r="N27" s="168"/>
      <c r="O27" s="7">
        <v>0.1</v>
      </c>
      <c r="P27" s="175" t="s">
        <v>941</v>
      </c>
      <c r="Q27" s="168"/>
      <c r="R27" s="7">
        <v>0.1</v>
      </c>
    </row>
    <row r="28" spans="2:18" ht="18.75" customHeight="1">
      <c r="B28" s="150"/>
      <c r="C28" s="139"/>
      <c r="D28" s="167" t="s">
        <v>955</v>
      </c>
      <c r="E28" s="168"/>
      <c r="F28" s="12">
        <v>1</v>
      </c>
      <c r="G28" s="167" t="s">
        <v>991</v>
      </c>
      <c r="H28" s="168"/>
      <c r="I28" s="12">
        <v>0.4</v>
      </c>
      <c r="J28" s="167" t="s">
        <v>991</v>
      </c>
      <c r="K28" s="168"/>
      <c r="L28" s="12">
        <v>1</v>
      </c>
      <c r="M28" s="167" t="s">
        <v>991</v>
      </c>
      <c r="N28" s="168"/>
      <c r="O28" s="12">
        <v>1</v>
      </c>
      <c r="P28" s="167" t="s">
        <v>956</v>
      </c>
      <c r="Q28" s="168"/>
      <c r="R28" s="12">
        <v>1</v>
      </c>
    </row>
    <row r="29" spans="2:18" ht="18.75" customHeight="1">
      <c r="B29" s="150"/>
      <c r="C29" s="139"/>
      <c r="D29" s="167" t="s">
        <v>951</v>
      </c>
      <c r="E29" s="168"/>
      <c r="F29" s="12">
        <v>1.5</v>
      </c>
      <c r="G29" s="167"/>
      <c r="H29" s="168"/>
      <c r="I29" s="12"/>
      <c r="J29" s="166"/>
      <c r="K29" s="142"/>
      <c r="L29" s="12"/>
      <c r="M29" s="174" t="s">
        <v>992</v>
      </c>
      <c r="N29" s="165"/>
      <c r="O29" s="116">
        <v>1</v>
      </c>
      <c r="P29" s="154" t="s">
        <v>942</v>
      </c>
      <c r="Q29" s="155"/>
      <c r="R29" s="7"/>
    </row>
    <row r="30" spans="2:18" ht="19.5" customHeight="1" thickBot="1">
      <c r="B30" s="150"/>
      <c r="C30" s="140"/>
      <c r="D30" s="172" t="s">
        <v>968</v>
      </c>
      <c r="E30" s="173"/>
      <c r="F30" s="119">
        <v>0.5</v>
      </c>
      <c r="G30" s="172" t="s">
        <v>964</v>
      </c>
      <c r="H30" s="173"/>
      <c r="I30" s="119">
        <v>1.5</v>
      </c>
      <c r="J30" s="172" t="s">
        <v>964</v>
      </c>
      <c r="K30" s="173"/>
      <c r="L30" s="119">
        <v>1.5</v>
      </c>
      <c r="M30" s="161" t="s">
        <v>952</v>
      </c>
      <c r="N30" s="159"/>
      <c r="O30" s="34">
        <v>0.4</v>
      </c>
      <c r="P30" s="164" t="s">
        <v>992</v>
      </c>
      <c r="Q30" s="165"/>
      <c r="R30" s="119">
        <v>1</v>
      </c>
    </row>
    <row r="31" spans="2:18" ht="18.75" customHeight="1">
      <c r="B31" s="150"/>
      <c r="C31" s="138" t="s">
        <v>20</v>
      </c>
      <c r="D31" s="164" t="s">
        <v>993</v>
      </c>
      <c r="E31" s="165"/>
      <c r="F31" s="116">
        <v>1</v>
      </c>
      <c r="G31" s="164" t="s">
        <v>994</v>
      </c>
      <c r="H31" s="142"/>
      <c r="I31" s="116">
        <v>1</v>
      </c>
      <c r="J31" s="164" t="s">
        <v>992</v>
      </c>
      <c r="K31" s="142"/>
      <c r="L31" s="12">
        <v>1</v>
      </c>
      <c r="M31" s="174" t="s">
        <v>964</v>
      </c>
      <c r="N31" s="165"/>
      <c r="O31" s="126">
        <v>1.5</v>
      </c>
      <c r="P31" s="169" t="s">
        <v>964</v>
      </c>
      <c r="Q31" s="170"/>
      <c r="R31" s="12">
        <v>1.4</v>
      </c>
    </row>
    <row r="32" spans="2:18" ht="18.75" customHeight="1">
      <c r="B32" s="150"/>
      <c r="C32" s="139"/>
      <c r="D32" s="164" t="s">
        <v>995</v>
      </c>
      <c r="E32" s="165"/>
      <c r="F32" s="116">
        <v>0.9</v>
      </c>
      <c r="G32" s="164" t="s">
        <v>992</v>
      </c>
      <c r="H32" s="171"/>
      <c r="I32" s="116">
        <v>2</v>
      </c>
      <c r="J32" s="166" t="s">
        <v>996</v>
      </c>
      <c r="K32" s="142"/>
      <c r="L32" s="116">
        <v>1.4</v>
      </c>
      <c r="M32" s="167" t="s">
        <v>960</v>
      </c>
      <c r="N32" s="168"/>
      <c r="O32" s="12">
        <v>1</v>
      </c>
      <c r="P32" s="167" t="s">
        <v>955</v>
      </c>
      <c r="Q32" s="168"/>
      <c r="R32" s="12">
        <v>1</v>
      </c>
    </row>
    <row r="33" spans="2:18" ht="18.75" customHeight="1">
      <c r="B33" s="150"/>
      <c r="C33" s="139"/>
      <c r="D33" s="164"/>
      <c r="E33" s="165"/>
      <c r="F33" s="116"/>
      <c r="G33" s="164"/>
      <c r="H33" s="165"/>
      <c r="I33" s="12"/>
      <c r="J33" s="166"/>
      <c r="K33" s="142"/>
      <c r="L33" s="116"/>
      <c r="M33" s="154" t="s">
        <v>943</v>
      </c>
      <c r="N33" s="155"/>
      <c r="O33" s="7"/>
      <c r="P33" s="167" t="s">
        <v>961</v>
      </c>
      <c r="Q33" s="168"/>
      <c r="R33" s="12">
        <v>0.5</v>
      </c>
    </row>
    <row r="34" spans="2:18" ht="18.75" customHeight="1">
      <c r="B34" s="150"/>
      <c r="C34" s="139"/>
      <c r="D34" s="167" t="s">
        <v>944</v>
      </c>
      <c r="E34" s="168"/>
      <c r="F34" s="12">
        <v>0.5</v>
      </c>
      <c r="G34" s="167" t="s">
        <v>944</v>
      </c>
      <c r="H34" s="168"/>
      <c r="I34" s="12">
        <v>0.5</v>
      </c>
      <c r="J34" s="167" t="s">
        <v>944</v>
      </c>
      <c r="K34" s="168"/>
      <c r="L34" s="12">
        <v>0.5</v>
      </c>
      <c r="M34" s="167" t="s">
        <v>944</v>
      </c>
      <c r="N34" s="168"/>
      <c r="O34" s="12">
        <v>0.5</v>
      </c>
      <c r="P34" s="167" t="s">
        <v>944</v>
      </c>
      <c r="Q34" s="168"/>
      <c r="R34" s="12">
        <v>0.5</v>
      </c>
    </row>
    <row r="35" spans="2:18" ht="19.5" customHeight="1" thickBot="1">
      <c r="B35" s="150"/>
      <c r="C35" s="140"/>
      <c r="D35" s="160" t="s">
        <v>940</v>
      </c>
      <c r="E35" s="159"/>
      <c r="F35" s="9">
        <v>0.75</v>
      </c>
      <c r="G35" s="161" t="s">
        <v>940</v>
      </c>
      <c r="H35" s="159"/>
      <c r="I35" s="9">
        <v>0.75</v>
      </c>
      <c r="J35" s="161" t="s">
        <v>940</v>
      </c>
      <c r="K35" s="159"/>
      <c r="L35" s="9">
        <v>0.75</v>
      </c>
      <c r="M35" s="161" t="s">
        <v>940</v>
      </c>
      <c r="N35" s="159"/>
      <c r="O35" s="9">
        <v>0.75</v>
      </c>
      <c r="P35" s="161" t="s">
        <v>940</v>
      </c>
      <c r="Q35" s="159"/>
      <c r="R35" s="9">
        <v>0.75</v>
      </c>
    </row>
    <row r="36" spans="2:18" ht="19.5" thickBot="1">
      <c r="B36" s="151"/>
      <c r="C36" s="18" t="s">
        <v>76</v>
      </c>
      <c r="D36" s="132"/>
      <c r="E36" s="132"/>
      <c r="F36" s="127">
        <f>SUM(F26:F35)</f>
        <v>7.75</v>
      </c>
      <c r="G36" s="132"/>
      <c r="H36" s="132"/>
      <c r="I36" s="127">
        <f>SUM(I26:I35)</f>
        <v>7.75</v>
      </c>
      <c r="J36" s="132"/>
      <c r="K36" s="132"/>
      <c r="L36" s="127">
        <f>SUM(L26:L35)</f>
        <v>7.75</v>
      </c>
      <c r="M36" s="132"/>
      <c r="N36" s="132"/>
      <c r="O36" s="127">
        <f>SUM(O26:O35)</f>
        <v>7.75</v>
      </c>
      <c r="P36" s="132"/>
      <c r="Q36" s="132"/>
      <c r="R36" s="127">
        <f>SUM(R26:R35)</f>
        <v>7.75</v>
      </c>
    </row>
    <row r="37" spans="2:18" ht="18.75" customHeight="1">
      <c r="B37" s="149" t="s">
        <v>926</v>
      </c>
      <c r="C37" s="138" t="s">
        <v>9</v>
      </c>
      <c r="D37" s="152" t="s">
        <v>927</v>
      </c>
      <c r="E37" s="153"/>
      <c r="F37" s="6">
        <v>0.5</v>
      </c>
      <c r="G37" s="152" t="s">
        <v>927</v>
      </c>
      <c r="H37" s="153"/>
      <c r="I37" s="6">
        <v>0.5</v>
      </c>
      <c r="J37" s="152" t="s">
        <v>927</v>
      </c>
      <c r="K37" s="153"/>
      <c r="L37" s="6">
        <v>0.5</v>
      </c>
      <c r="M37" s="152" t="s">
        <v>927</v>
      </c>
      <c r="N37" s="153"/>
      <c r="O37" s="6">
        <v>0.5</v>
      </c>
      <c r="P37" s="152" t="s">
        <v>927</v>
      </c>
      <c r="Q37" s="153"/>
      <c r="R37" s="6">
        <v>0.5</v>
      </c>
    </row>
    <row r="38" spans="2:18" ht="18.75" customHeight="1">
      <c r="B38" s="150"/>
      <c r="C38" s="139"/>
      <c r="D38" s="157" t="s">
        <v>929</v>
      </c>
      <c r="E38" s="155"/>
      <c r="F38" s="7">
        <v>1</v>
      </c>
      <c r="G38" s="157" t="s">
        <v>958</v>
      </c>
      <c r="H38" s="155"/>
      <c r="I38" s="7">
        <v>1.5</v>
      </c>
      <c r="J38" s="157" t="s">
        <v>958</v>
      </c>
      <c r="K38" s="155"/>
      <c r="L38" s="7">
        <v>1</v>
      </c>
      <c r="M38" s="157" t="s">
        <v>935</v>
      </c>
      <c r="N38" s="155"/>
      <c r="O38" s="7">
        <v>1.5</v>
      </c>
      <c r="P38" s="157" t="s">
        <v>936</v>
      </c>
      <c r="Q38" s="155"/>
      <c r="R38" s="7">
        <v>1.5</v>
      </c>
    </row>
    <row r="39" spans="2:18" ht="18.75" customHeight="1">
      <c r="B39" s="150"/>
      <c r="C39" s="139"/>
      <c r="D39" s="157" t="s">
        <v>945</v>
      </c>
      <c r="E39" s="155"/>
      <c r="F39" s="7">
        <v>0.5</v>
      </c>
      <c r="G39" s="157"/>
      <c r="H39" s="155"/>
      <c r="I39" s="7"/>
      <c r="J39" s="157" t="s">
        <v>945</v>
      </c>
      <c r="K39" s="155"/>
      <c r="L39" s="7">
        <v>0.5</v>
      </c>
      <c r="M39" s="157"/>
      <c r="N39" s="155"/>
      <c r="O39" s="7"/>
      <c r="P39" s="157"/>
      <c r="Q39" s="155"/>
      <c r="R39" s="7"/>
    </row>
    <row r="40" spans="2:18" ht="18.75" customHeight="1">
      <c r="B40" s="150"/>
      <c r="C40" s="139"/>
      <c r="D40" s="162"/>
      <c r="E40" s="163"/>
      <c r="F40" s="7"/>
      <c r="G40" s="162"/>
      <c r="H40" s="163"/>
      <c r="I40" s="7"/>
      <c r="J40" s="162"/>
      <c r="K40" s="163"/>
      <c r="L40" s="7"/>
      <c r="M40" s="162"/>
      <c r="N40" s="163"/>
      <c r="O40" s="7"/>
      <c r="P40" s="162"/>
      <c r="Q40" s="163"/>
      <c r="R40" s="7"/>
    </row>
    <row r="41" spans="2:18" ht="19.5" customHeight="1" thickBot="1">
      <c r="B41" s="150"/>
      <c r="C41" s="140"/>
      <c r="D41" s="158"/>
      <c r="E41" s="159"/>
      <c r="F41" s="9"/>
      <c r="G41" s="158"/>
      <c r="H41" s="159"/>
      <c r="I41" s="9"/>
      <c r="J41" s="158"/>
      <c r="K41" s="159"/>
      <c r="L41" s="9"/>
      <c r="M41" s="158"/>
      <c r="N41" s="159"/>
      <c r="O41" s="9"/>
      <c r="P41" s="158"/>
      <c r="Q41" s="159"/>
      <c r="R41" s="9"/>
    </row>
    <row r="42" spans="2:18" ht="18.75" customHeight="1">
      <c r="B42" s="150"/>
      <c r="C42" s="138" t="s">
        <v>20</v>
      </c>
      <c r="D42" s="156" t="s">
        <v>969</v>
      </c>
      <c r="E42" s="153"/>
      <c r="F42" s="7">
        <v>2.5</v>
      </c>
      <c r="G42" s="156" t="s">
        <v>969</v>
      </c>
      <c r="H42" s="153"/>
      <c r="I42" s="7">
        <v>2.5</v>
      </c>
      <c r="J42" s="156" t="s">
        <v>969</v>
      </c>
      <c r="K42" s="153"/>
      <c r="L42" s="7">
        <v>2.5</v>
      </c>
      <c r="M42" s="156" t="s">
        <v>969</v>
      </c>
      <c r="N42" s="153"/>
      <c r="O42" s="7">
        <v>2.5</v>
      </c>
      <c r="P42" s="156" t="s">
        <v>969</v>
      </c>
      <c r="Q42" s="153"/>
      <c r="R42" s="7">
        <v>2.5</v>
      </c>
    </row>
    <row r="43" spans="2:18" ht="18.75" customHeight="1">
      <c r="B43" s="150"/>
      <c r="C43" s="139"/>
      <c r="D43" s="147" t="s">
        <v>989</v>
      </c>
      <c r="E43" s="148"/>
      <c r="F43" s="111">
        <v>0.5</v>
      </c>
      <c r="G43" s="147" t="s">
        <v>989</v>
      </c>
      <c r="H43" s="148"/>
      <c r="I43" s="111">
        <v>0.5</v>
      </c>
      <c r="J43" s="147" t="s">
        <v>989</v>
      </c>
      <c r="K43" s="148"/>
      <c r="L43" s="111">
        <v>0.5</v>
      </c>
      <c r="M43" s="147" t="s">
        <v>989</v>
      </c>
      <c r="N43" s="148"/>
      <c r="O43" s="111">
        <v>0.5</v>
      </c>
      <c r="P43" s="147" t="s">
        <v>989</v>
      </c>
      <c r="Q43" s="148"/>
      <c r="R43" s="111">
        <v>0.5</v>
      </c>
    </row>
    <row r="44" spans="2:18" ht="18.75" customHeight="1">
      <c r="B44" s="150"/>
      <c r="C44" s="139"/>
      <c r="D44" s="157"/>
      <c r="E44" s="155"/>
      <c r="F44" s="7"/>
      <c r="G44" s="157"/>
      <c r="H44" s="155"/>
      <c r="I44" s="7"/>
      <c r="J44" s="157"/>
      <c r="K44" s="155"/>
      <c r="L44" s="7"/>
      <c r="M44" s="154"/>
      <c r="N44" s="155"/>
      <c r="O44" s="7"/>
      <c r="P44" s="157"/>
      <c r="Q44" s="155"/>
      <c r="R44" s="7"/>
    </row>
    <row r="45" spans="2:18" ht="18.75" customHeight="1">
      <c r="B45" s="150"/>
      <c r="C45" s="139"/>
      <c r="D45" s="157"/>
      <c r="E45" s="155"/>
      <c r="F45" s="7"/>
      <c r="G45" s="157"/>
      <c r="H45" s="155"/>
      <c r="I45" s="7"/>
      <c r="J45" s="157"/>
      <c r="K45" s="155"/>
      <c r="L45" s="7"/>
      <c r="M45" s="154"/>
      <c r="N45" s="155"/>
      <c r="O45" s="7"/>
      <c r="P45" s="157"/>
      <c r="Q45" s="155"/>
      <c r="R45" s="7"/>
    </row>
    <row r="46" spans="2:18" ht="19.5" customHeight="1" thickBot="1">
      <c r="B46" s="150"/>
      <c r="C46" s="140"/>
      <c r="D46" s="157"/>
      <c r="E46" s="155"/>
      <c r="F46" s="7"/>
      <c r="G46" s="157"/>
      <c r="H46" s="155"/>
      <c r="I46" s="7"/>
      <c r="J46" s="157"/>
      <c r="K46" s="155"/>
      <c r="L46" s="7"/>
      <c r="M46" s="161"/>
      <c r="N46" s="159"/>
      <c r="O46" s="9"/>
      <c r="P46" s="157"/>
      <c r="Q46" s="155"/>
      <c r="R46" s="7"/>
    </row>
    <row r="47" spans="2:18" ht="19.5" thickBot="1">
      <c r="B47" s="151"/>
      <c r="C47" s="18" t="s">
        <v>76</v>
      </c>
      <c r="D47" s="132"/>
      <c r="E47" s="132"/>
      <c r="F47" s="127">
        <f>SUM(F37:F46)</f>
        <v>5</v>
      </c>
      <c r="G47" s="132"/>
      <c r="H47" s="132"/>
      <c r="I47" s="127">
        <f>SUM(I37:I46)</f>
        <v>5</v>
      </c>
      <c r="J47" s="132"/>
      <c r="K47" s="132"/>
      <c r="L47" s="127">
        <f>SUM(L37:L46)</f>
        <v>5</v>
      </c>
      <c r="M47" s="132"/>
      <c r="N47" s="132"/>
      <c r="O47" s="127">
        <f>SUM(O37:O46)</f>
        <v>5</v>
      </c>
      <c r="P47" s="132"/>
      <c r="Q47" s="132"/>
      <c r="R47" s="127">
        <f>SUM(R37:R46)</f>
        <v>5</v>
      </c>
    </row>
    <row r="48" spans="2:18">
      <c r="B48" s="124"/>
      <c r="C48" s="125"/>
      <c r="F48" s="125"/>
      <c r="I48" s="125"/>
      <c r="L48" s="125"/>
      <c r="O48" s="125"/>
      <c r="R48" s="125"/>
    </row>
    <row r="50" spans="3:4">
      <c r="C50" s="137" t="s">
        <v>931</v>
      </c>
      <c r="D50" t="s">
        <v>932</v>
      </c>
    </row>
    <row r="51" spans="3:4">
      <c r="C51" s="137"/>
      <c r="D51" t="s">
        <v>933</v>
      </c>
    </row>
    <row r="52" spans="3:4">
      <c r="C52" s="137"/>
      <c r="D52" t="s">
        <v>934</v>
      </c>
    </row>
    <row r="53" spans="3:4">
      <c r="C53" s="137"/>
      <c r="D53" t="s">
        <v>930</v>
      </c>
    </row>
  </sheetData>
  <mergeCells count="231"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  <mergeCell ref="Q2:Q3"/>
    <mergeCell ref="R2:R3"/>
    <mergeCell ref="B4:B14"/>
    <mergeCell ref="C4:C8"/>
    <mergeCell ref="D4:E4"/>
    <mergeCell ref="G4:H4"/>
    <mergeCell ref="J4:K4"/>
    <mergeCell ref="M4:N4"/>
    <mergeCell ref="P4:Q4"/>
    <mergeCell ref="D5:E5"/>
    <mergeCell ref="K2:K3"/>
    <mergeCell ref="L2:L3"/>
    <mergeCell ref="M2:M3"/>
    <mergeCell ref="N2:N3"/>
    <mergeCell ref="O2:O3"/>
    <mergeCell ref="P2:P3"/>
    <mergeCell ref="G5:H5"/>
    <mergeCell ref="J5:K5"/>
    <mergeCell ref="M5:N5"/>
    <mergeCell ref="P5:Q5"/>
    <mergeCell ref="D6:E6"/>
    <mergeCell ref="G6:H6"/>
    <mergeCell ref="J6:K6"/>
    <mergeCell ref="M6:N6"/>
    <mergeCell ref="P6:Q6"/>
    <mergeCell ref="D7:E7"/>
    <mergeCell ref="G7:H7"/>
    <mergeCell ref="J7:K7"/>
    <mergeCell ref="M7:N7"/>
    <mergeCell ref="P7:Q7"/>
    <mergeCell ref="D8:E8"/>
    <mergeCell ref="G8:H8"/>
    <mergeCell ref="J8:K8"/>
    <mergeCell ref="M8:N8"/>
    <mergeCell ref="P8:Q8"/>
    <mergeCell ref="P10:Q10"/>
    <mergeCell ref="D11:E11"/>
    <mergeCell ref="G11:H11"/>
    <mergeCell ref="J11:K11"/>
    <mergeCell ref="M11:N11"/>
    <mergeCell ref="P11:Q11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2:E12"/>
    <mergeCell ref="G12:H12"/>
    <mergeCell ref="J12:K12"/>
    <mergeCell ref="M12:N12"/>
    <mergeCell ref="P12:Q12"/>
    <mergeCell ref="D13:E13"/>
    <mergeCell ref="G13:H13"/>
    <mergeCell ref="J13:K13"/>
    <mergeCell ref="M13:N13"/>
    <mergeCell ref="P13:Q13"/>
    <mergeCell ref="P17:Q17"/>
    <mergeCell ref="D18:E18"/>
    <mergeCell ref="G18:H18"/>
    <mergeCell ref="J18:K18"/>
    <mergeCell ref="M18:N18"/>
    <mergeCell ref="P18:Q18"/>
    <mergeCell ref="P15:Q15"/>
    <mergeCell ref="D16:E16"/>
    <mergeCell ref="G16:H16"/>
    <mergeCell ref="J16:K16"/>
    <mergeCell ref="M16:N16"/>
    <mergeCell ref="P16:Q16"/>
    <mergeCell ref="D15:E15"/>
    <mergeCell ref="G15:H15"/>
    <mergeCell ref="J15:K15"/>
    <mergeCell ref="M15:N15"/>
    <mergeCell ref="D17:E17"/>
    <mergeCell ref="G17:H17"/>
    <mergeCell ref="J17:K17"/>
    <mergeCell ref="M17:N17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D20:E20"/>
    <mergeCell ref="G20:H20"/>
    <mergeCell ref="J20:K20"/>
    <mergeCell ref="M20:N20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  <mergeCell ref="D24:E24"/>
    <mergeCell ref="G24:H24"/>
    <mergeCell ref="J24:K24"/>
    <mergeCell ref="M24:N24"/>
    <mergeCell ref="P24:Q24"/>
    <mergeCell ref="B26:B36"/>
    <mergeCell ref="C26:C30"/>
    <mergeCell ref="D26:E26"/>
    <mergeCell ref="G26:H26"/>
    <mergeCell ref="J26:K26"/>
    <mergeCell ref="C20:C24"/>
    <mergeCell ref="B15:B25"/>
    <mergeCell ref="C15:C19"/>
    <mergeCell ref="P28:Q28"/>
    <mergeCell ref="D29:E29"/>
    <mergeCell ref="G29:H29"/>
    <mergeCell ref="J29:K29"/>
    <mergeCell ref="M29:N29"/>
    <mergeCell ref="P29:Q29"/>
    <mergeCell ref="M26:N26"/>
    <mergeCell ref="P26:Q26"/>
    <mergeCell ref="D27:E27"/>
    <mergeCell ref="G27:H27"/>
    <mergeCell ref="J27:K27"/>
    <mergeCell ref="M27:N27"/>
    <mergeCell ref="P27:Q27"/>
    <mergeCell ref="C31:C35"/>
    <mergeCell ref="D31:E31"/>
    <mergeCell ref="G31:H31"/>
    <mergeCell ref="J31:K31"/>
    <mergeCell ref="M31:N31"/>
    <mergeCell ref="D28:E28"/>
    <mergeCell ref="G28:H28"/>
    <mergeCell ref="J28:K28"/>
    <mergeCell ref="M28:N28"/>
    <mergeCell ref="P31:Q31"/>
    <mergeCell ref="D32:E32"/>
    <mergeCell ref="G32:H32"/>
    <mergeCell ref="J32:K32"/>
    <mergeCell ref="M32:N32"/>
    <mergeCell ref="P32:Q32"/>
    <mergeCell ref="D30:E30"/>
    <mergeCell ref="G30:H30"/>
    <mergeCell ref="J30:K30"/>
    <mergeCell ref="M30:N30"/>
    <mergeCell ref="P30:Q30"/>
    <mergeCell ref="D33:E33"/>
    <mergeCell ref="G33:H33"/>
    <mergeCell ref="D35:E35"/>
    <mergeCell ref="G35:H35"/>
    <mergeCell ref="J35:K35"/>
    <mergeCell ref="M35:N35"/>
    <mergeCell ref="P35:Q35"/>
    <mergeCell ref="D37:E37"/>
    <mergeCell ref="G37:H37"/>
    <mergeCell ref="J37:K37"/>
    <mergeCell ref="J33:K33"/>
    <mergeCell ref="M33:N33"/>
    <mergeCell ref="P33:Q33"/>
    <mergeCell ref="D34:E34"/>
    <mergeCell ref="G34:H34"/>
    <mergeCell ref="J34:K34"/>
    <mergeCell ref="M34:N34"/>
    <mergeCell ref="P34:Q34"/>
    <mergeCell ref="M37:N37"/>
    <mergeCell ref="P37:Q37"/>
    <mergeCell ref="P39:Q39"/>
    <mergeCell ref="D40:E40"/>
    <mergeCell ref="G40:H40"/>
    <mergeCell ref="J40:K40"/>
    <mergeCell ref="M40:N40"/>
    <mergeCell ref="P40:Q40"/>
    <mergeCell ref="D38:E38"/>
    <mergeCell ref="G38:H38"/>
    <mergeCell ref="J38:K38"/>
    <mergeCell ref="M38:N38"/>
    <mergeCell ref="P38:Q38"/>
    <mergeCell ref="P46:Q46"/>
    <mergeCell ref="D41:E41"/>
    <mergeCell ref="G41:H41"/>
    <mergeCell ref="J41:K41"/>
    <mergeCell ref="M41:N41"/>
    <mergeCell ref="P41:Q41"/>
    <mergeCell ref="C42:C46"/>
    <mergeCell ref="D42:E42"/>
    <mergeCell ref="G42:H42"/>
    <mergeCell ref="J42:K42"/>
    <mergeCell ref="M42:N42"/>
    <mergeCell ref="C37:C41"/>
    <mergeCell ref="P44:Q44"/>
    <mergeCell ref="D45:E45"/>
    <mergeCell ref="G45:H45"/>
    <mergeCell ref="J45:K45"/>
    <mergeCell ref="M45:N45"/>
    <mergeCell ref="P45:Q45"/>
    <mergeCell ref="P42:Q42"/>
    <mergeCell ref="D43:E43"/>
    <mergeCell ref="G43:H43"/>
    <mergeCell ref="J43:K43"/>
    <mergeCell ref="M43:N43"/>
    <mergeCell ref="P43:Q43"/>
    <mergeCell ref="C50:C53"/>
    <mergeCell ref="G44:H44"/>
    <mergeCell ref="J44:K44"/>
    <mergeCell ref="M44:N44"/>
    <mergeCell ref="B37:B47"/>
    <mergeCell ref="D46:E46"/>
    <mergeCell ref="G46:H46"/>
    <mergeCell ref="J46:K46"/>
    <mergeCell ref="M46:N46"/>
    <mergeCell ref="D44:E44"/>
    <mergeCell ref="D39:E39"/>
    <mergeCell ref="G39:H39"/>
    <mergeCell ref="J39:K39"/>
    <mergeCell ref="M39:N39"/>
  </mergeCells>
  <phoneticPr fontId="1"/>
  <pageMargins left="0.7" right="0.7" top="0.75" bottom="0.75" header="0.3" footer="0.3"/>
  <pageSetup paperSize="8" scale="66" fitToHeight="0" orientation="landscape" horizontalDpi="1200" verticalDpi="1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5606-9F2D-4CEF-8450-0FC4630CB0C7}">
  <sheetPr codeName="Sheet30">
    <pageSetUpPr fitToPage="1"/>
  </sheetPr>
  <dimension ref="B1:S25"/>
  <sheetViews>
    <sheetView view="pageBreakPreview" topLeftCell="A7" zoomScale="70" zoomScaleNormal="70" zoomScaleSheetLayoutView="70" workbookViewId="0">
      <selection activeCell="G34" sqref="G34"/>
    </sheetView>
  </sheetViews>
  <sheetFormatPr defaultRowHeight="18.75"/>
  <cols>
    <col min="1" max="1" width="2.5" customWidth="1"/>
    <col min="4" max="18" width="16" customWidth="1"/>
  </cols>
  <sheetData>
    <row r="1" spans="2:19" ht="24.75" thickBot="1">
      <c r="D1" s="53">
        <v>45789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19" s="5" customFormat="1">
      <c r="B2" s="201"/>
      <c r="C2" s="202"/>
      <c r="D2" s="205">
        <f>D1</f>
        <v>45789</v>
      </c>
      <c r="E2" s="195" t="s">
        <v>3</v>
      </c>
      <c r="F2" s="191" t="s">
        <v>4</v>
      </c>
      <c r="G2" s="197">
        <f>D2+1</f>
        <v>45790</v>
      </c>
      <c r="H2" s="195" t="s">
        <v>5</v>
      </c>
      <c r="I2" s="191" t="s">
        <v>4</v>
      </c>
      <c r="J2" s="197">
        <f>G2+1</f>
        <v>45791</v>
      </c>
      <c r="K2" s="195" t="s">
        <v>6</v>
      </c>
      <c r="L2" s="191" t="s">
        <v>4</v>
      </c>
      <c r="M2" s="197">
        <f>J2+1</f>
        <v>45792</v>
      </c>
      <c r="N2" s="195" t="s">
        <v>7</v>
      </c>
      <c r="O2" s="191" t="s">
        <v>4</v>
      </c>
      <c r="P2" s="197">
        <f>M2+1</f>
        <v>45793</v>
      </c>
      <c r="Q2" s="195" t="s">
        <v>8</v>
      </c>
      <c r="R2" s="191" t="s">
        <v>4</v>
      </c>
    </row>
    <row r="3" spans="2:19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19" ht="18.75" customHeight="1">
      <c r="B4" s="149" t="s">
        <v>32</v>
      </c>
      <c r="C4" s="138" t="s">
        <v>9</v>
      </c>
      <c r="D4" s="156" t="s">
        <v>884</v>
      </c>
      <c r="E4" s="153"/>
      <c r="F4" s="6">
        <v>0.5</v>
      </c>
      <c r="G4" s="156" t="s">
        <v>166</v>
      </c>
      <c r="H4" s="153"/>
      <c r="I4" s="6">
        <v>0.5</v>
      </c>
      <c r="J4" s="156" t="s">
        <v>166</v>
      </c>
      <c r="K4" s="153"/>
      <c r="L4" s="6">
        <v>0.5</v>
      </c>
      <c r="M4" s="156" t="s">
        <v>166</v>
      </c>
      <c r="N4" s="153"/>
      <c r="O4" s="6">
        <v>0.5</v>
      </c>
      <c r="P4" s="264" t="s">
        <v>166</v>
      </c>
      <c r="Q4" s="153"/>
      <c r="R4" s="6">
        <v>0.5</v>
      </c>
      <c r="S4" s="95"/>
    </row>
    <row r="5" spans="2:19">
      <c r="B5" s="150"/>
      <c r="C5" s="139"/>
      <c r="D5" s="154" t="s">
        <v>675</v>
      </c>
      <c r="E5" s="155"/>
      <c r="F5" s="7">
        <v>0.05</v>
      </c>
      <c r="G5" s="154" t="s">
        <v>676</v>
      </c>
      <c r="H5" s="155"/>
      <c r="I5" s="7">
        <v>0.05</v>
      </c>
      <c r="J5" s="154" t="s">
        <v>919</v>
      </c>
      <c r="K5" s="155"/>
      <c r="L5" s="7">
        <v>0.05</v>
      </c>
      <c r="M5" s="154" t="s">
        <v>678</v>
      </c>
      <c r="N5" s="155"/>
      <c r="O5" s="7">
        <v>0.05</v>
      </c>
      <c r="P5" s="154" t="s">
        <v>679</v>
      </c>
      <c r="Q5" s="155"/>
      <c r="R5" s="7">
        <v>0.05</v>
      </c>
      <c r="S5" s="95"/>
    </row>
    <row r="6" spans="2:19">
      <c r="B6" s="150"/>
      <c r="C6" s="139"/>
      <c r="D6" s="166"/>
      <c r="E6" s="142"/>
      <c r="F6" s="116"/>
      <c r="G6" s="154" t="s">
        <v>847</v>
      </c>
      <c r="H6" s="155"/>
      <c r="I6" s="117"/>
      <c r="J6" s="238"/>
      <c r="K6" s="165"/>
      <c r="L6" s="116"/>
      <c r="M6" s="235" t="s">
        <v>750</v>
      </c>
      <c r="N6" s="236"/>
      <c r="O6" s="7">
        <v>1</v>
      </c>
      <c r="P6" s="154" t="s">
        <v>865</v>
      </c>
      <c r="Q6" s="155"/>
      <c r="R6" s="7">
        <v>1.5</v>
      </c>
      <c r="S6" s="95"/>
    </row>
    <row r="7" spans="2:19">
      <c r="B7" s="150"/>
      <c r="C7" s="139"/>
      <c r="D7" s="166" t="s">
        <v>920</v>
      </c>
      <c r="E7" s="142"/>
      <c r="F7" s="116">
        <v>1</v>
      </c>
      <c r="G7" s="166" t="s">
        <v>920</v>
      </c>
      <c r="H7" s="142"/>
      <c r="I7" s="116">
        <v>1</v>
      </c>
      <c r="J7" s="166" t="s">
        <v>920</v>
      </c>
      <c r="K7" s="142"/>
      <c r="L7" s="116">
        <v>1</v>
      </c>
      <c r="M7" s="166" t="s">
        <v>920</v>
      </c>
      <c r="N7" s="142"/>
      <c r="O7" s="116">
        <v>1</v>
      </c>
      <c r="P7" s="141" t="s">
        <v>814</v>
      </c>
      <c r="Q7" s="142"/>
      <c r="R7" s="116">
        <v>0</v>
      </c>
      <c r="S7" s="8"/>
    </row>
    <row r="8" spans="2:19" ht="19.5" thickBot="1">
      <c r="B8" s="150"/>
      <c r="C8" s="140"/>
      <c r="D8" s="263" t="s">
        <v>921</v>
      </c>
      <c r="E8" s="173"/>
      <c r="F8" s="119">
        <v>0.5</v>
      </c>
      <c r="G8" s="263" t="s">
        <v>921</v>
      </c>
      <c r="H8" s="173"/>
      <c r="I8" s="119">
        <v>0.5</v>
      </c>
      <c r="J8" s="263" t="s">
        <v>921</v>
      </c>
      <c r="K8" s="173"/>
      <c r="L8" s="119">
        <v>0.5</v>
      </c>
      <c r="M8" s="263" t="s">
        <v>921</v>
      </c>
      <c r="N8" s="173"/>
      <c r="O8" s="119">
        <v>0.5</v>
      </c>
      <c r="P8" s="263" t="s">
        <v>921</v>
      </c>
      <c r="Q8" s="173"/>
      <c r="R8" s="119">
        <v>0.7</v>
      </c>
      <c r="S8" s="96"/>
    </row>
    <row r="9" spans="2:19" ht="18.75" customHeight="1">
      <c r="B9" s="150"/>
      <c r="C9" s="138" t="s">
        <v>20</v>
      </c>
      <c r="D9" s="238" t="s">
        <v>922</v>
      </c>
      <c r="E9" s="165"/>
      <c r="F9" s="116">
        <v>1.7</v>
      </c>
      <c r="G9" s="238" t="s">
        <v>922</v>
      </c>
      <c r="H9" s="165"/>
      <c r="I9" s="116">
        <v>1.7</v>
      </c>
      <c r="J9" s="141" t="s">
        <v>872</v>
      </c>
      <c r="K9" s="142"/>
      <c r="L9" s="116">
        <v>2</v>
      </c>
      <c r="M9" s="262" t="s">
        <v>872</v>
      </c>
      <c r="N9" s="249"/>
      <c r="O9" s="116">
        <v>1.2</v>
      </c>
      <c r="P9" s="238" t="s">
        <v>872</v>
      </c>
      <c r="Q9" s="165"/>
      <c r="R9" s="116">
        <v>2</v>
      </c>
      <c r="S9" s="11"/>
    </row>
    <row r="10" spans="2:19" ht="18.75" customHeight="1">
      <c r="B10" s="150"/>
      <c r="C10" s="139"/>
      <c r="D10" s="141" t="s">
        <v>923</v>
      </c>
      <c r="E10" s="142"/>
      <c r="F10" s="116">
        <v>2</v>
      </c>
      <c r="G10" s="141" t="s">
        <v>923</v>
      </c>
      <c r="H10" s="142"/>
      <c r="I10" s="116">
        <v>2</v>
      </c>
      <c r="J10" s="141" t="s">
        <v>923</v>
      </c>
      <c r="K10" s="142"/>
      <c r="L10" s="116">
        <v>1.7</v>
      </c>
      <c r="M10" s="237" t="s">
        <v>924</v>
      </c>
      <c r="N10" s="236"/>
      <c r="O10" s="116">
        <v>1</v>
      </c>
      <c r="P10" s="141" t="s">
        <v>925</v>
      </c>
      <c r="Q10" s="142"/>
      <c r="R10" s="116">
        <v>1</v>
      </c>
      <c r="S10" s="11"/>
    </row>
    <row r="11" spans="2:19" ht="18.75" customHeight="1">
      <c r="B11" s="150"/>
      <c r="C11" s="139"/>
      <c r="D11" s="154"/>
      <c r="E11" s="155"/>
      <c r="F11" s="116"/>
      <c r="G11" s="141"/>
      <c r="H11" s="142"/>
      <c r="I11" s="116"/>
      <c r="J11" s="141"/>
      <c r="K11" s="142"/>
      <c r="L11" s="116"/>
      <c r="M11" s="248" t="s">
        <v>682</v>
      </c>
      <c r="N11" s="249"/>
      <c r="O11" s="116">
        <v>0.5</v>
      </c>
      <c r="P11" s="141"/>
      <c r="Q11" s="142"/>
      <c r="R11" s="116"/>
      <c r="S11" s="96"/>
    </row>
    <row r="12" spans="2:19" ht="18.75" customHeight="1">
      <c r="B12" s="150"/>
      <c r="C12" s="139"/>
      <c r="D12" s="154" t="s">
        <v>848</v>
      </c>
      <c r="E12" s="155"/>
      <c r="F12" s="116">
        <v>1</v>
      </c>
      <c r="G12" s="154" t="s">
        <v>848</v>
      </c>
      <c r="H12" s="155"/>
      <c r="I12" s="116">
        <v>1</v>
      </c>
      <c r="J12" s="154" t="s">
        <v>848</v>
      </c>
      <c r="K12" s="155"/>
      <c r="L12" s="116">
        <v>1</v>
      </c>
      <c r="M12" s="235" t="s">
        <v>848</v>
      </c>
      <c r="N12" s="236"/>
      <c r="O12" s="116">
        <v>1</v>
      </c>
      <c r="P12" s="154" t="s">
        <v>848</v>
      </c>
      <c r="Q12" s="155"/>
      <c r="R12" s="116">
        <v>1</v>
      </c>
      <c r="S12" s="96"/>
    </row>
    <row r="13" spans="2:19" ht="19.5" customHeight="1" thickBot="1">
      <c r="B13" s="150"/>
      <c r="C13" s="140"/>
      <c r="D13" s="160" t="s">
        <v>849</v>
      </c>
      <c r="E13" s="159"/>
      <c r="F13" s="9">
        <v>1</v>
      </c>
      <c r="G13" s="160" t="s">
        <v>849</v>
      </c>
      <c r="H13" s="159"/>
      <c r="I13" s="9">
        <v>1</v>
      </c>
      <c r="J13" s="160" t="s">
        <v>849</v>
      </c>
      <c r="K13" s="159"/>
      <c r="L13" s="9">
        <v>1</v>
      </c>
      <c r="M13" s="260" t="s">
        <v>849</v>
      </c>
      <c r="N13" s="261"/>
      <c r="O13" s="9">
        <v>1</v>
      </c>
      <c r="P13" s="160" t="s">
        <v>849</v>
      </c>
      <c r="Q13" s="159"/>
      <c r="R13" s="9">
        <v>1</v>
      </c>
    </row>
    <row r="14" spans="2:19" ht="19.5" thickBot="1">
      <c r="B14" s="151"/>
      <c r="C14" s="18" t="s">
        <v>76</v>
      </c>
      <c r="D14" s="17"/>
      <c r="E14" s="17"/>
      <c r="F14" s="18">
        <f>SUM(F4:F13)</f>
        <v>7.75</v>
      </c>
      <c r="G14" s="17"/>
      <c r="H14" s="17"/>
      <c r="I14" s="18">
        <f>SUM(I4:I13)</f>
        <v>7.75</v>
      </c>
      <c r="J14" s="17"/>
      <c r="K14" s="17"/>
      <c r="L14" s="18">
        <f>SUM(L4:L13)</f>
        <v>7.75</v>
      </c>
      <c r="M14" s="17"/>
      <c r="N14" s="17"/>
      <c r="O14" s="18">
        <f>SUM(O4:O13)</f>
        <v>7.75</v>
      </c>
      <c r="P14" s="17"/>
      <c r="Q14" s="17"/>
      <c r="R14" s="18">
        <f>SUM(R4:R13)</f>
        <v>7.75</v>
      </c>
    </row>
    <row r="15" spans="2:19" ht="18.75" customHeight="1">
      <c r="B15" s="149" t="s">
        <v>65</v>
      </c>
      <c r="C15" s="138" t="s">
        <v>9</v>
      </c>
      <c r="D15" s="152" t="s">
        <v>772</v>
      </c>
      <c r="E15" s="153"/>
      <c r="F15" s="6" t="s">
        <v>36</v>
      </c>
      <c r="G15" s="216" t="s">
        <v>907</v>
      </c>
      <c r="H15" s="163"/>
      <c r="I15" s="6">
        <v>0.5</v>
      </c>
      <c r="J15" s="154" t="s">
        <v>671</v>
      </c>
      <c r="K15" s="155"/>
      <c r="L15" s="6">
        <v>0.5</v>
      </c>
      <c r="M15" s="154" t="s">
        <v>908</v>
      </c>
      <c r="N15" s="155"/>
      <c r="O15" s="6">
        <v>1.5</v>
      </c>
      <c r="P15" s="156" t="s">
        <v>671</v>
      </c>
      <c r="Q15" s="153"/>
      <c r="R15" s="6">
        <v>0.25</v>
      </c>
    </row>
    <row r="16" spans="2:19" ht="18.75" customHeight="1">
      <c r="B16" s="150"/>
      <c r="C16" s="139"/>
      <c r="D16" s="157" t="s">
        <v>908</v>
      </c>
      <c r="E16" s="155"/>
      <c r="F16" s="7">
        <v>1.5</v>
      </c>
      <c r="G16" s="154" t="s">
        <v>908</v>
      </c>
      <c r="H16" s="155"/>
      <c r="I16" s="7">
        <v>1.5</v>
      </c>
      <c r="J16" s="154" t="s">
        <v>908</v>
      </c>
      <c r="K16" s="155"/>
      <c r="L16" s="7">
        <v>1.5</v>
      </c>
      <c r="M16" s="154" t="s">
        <v>909</v>
      </c>
      <c r="N16" s="155"/>
      <c r="O16" s="7">
        <v>1</v>
      </c>
      <c r="P16" s="154" t="s">
        <v>908</v>
      </c>
      <c r="Q16" s="155"/>
      <c r="R16" s="7">
        <v>1.5</v>
      </c>
    </row>
    <row r="17" spans="2:18" ht="18.75" customHeight="1">
      <c r="B17" s="150"/>
      <c r="C17" s="139"/>
      <c r="D17" s="157" t="s">
        <v>910</v>
      </c>
      <c r="E17" s="155"/>
      <c r="F17" s="7">
        <v>0.5</v>
      </c>
      <c r="G17" s="216" t="s">
        <v>911</v>
      </c>
      <c r="H17" s="163"/>
      <c r="I17" s="7">
        <v>1</v>
      </c>
      <c r="J17" s="154" t="s">
        <v>912</v>
      </c>
      <c r="K17" s="155"/>
      <c r="L17" s="7">
        <v>1</v>
      </c>
      <c r="M17" s="154"/>
      <c r="N17" s="155"/>
      <c r="O17" s="7"/>
      <c r="P17" s="154" t="s">
        <v>913</v>
      </c>
      <c r="Q17" s="155"/>
      <c r="R17" s="7">
        <v>1</v>
      </c>
    </row>
    <row r="18" spans="2:18" ht="18.75" customHeight="1">
      <c r="B18" s="150"/>
      <c r="C18" s="139"/>
      <c r="D18" s="221"/>
      <c r="E18" s="222"/>
      <c r="F18" s="7"/>
      <c r="G18" s="154"/>
      <c r="H18" s="155"/>
      <c r="I18" s="12"/>
      <c r="J18" s="154"/>
      <c r="K18" s="155"/>
      <c r="L18" s="12"/>
      <c r="M18" s="154"/>
      <c r="N18" s="155"/>
      <c r="O18" s="12"/>
      <c r="P18" s="154"/>
      <c r="Q18" s="155"/>
      <c r="R18" s="12"/>
    </row>
    <row r="19" spans="2:18" ht="19.5" customHeight="1" thickBot="1">
      <c r="B19" s="150"/>
      <c r="C19" s="140"/>
      <c r="D19" s="158"/>
      <c r="E19" s="159"/>
      <c r="F19" s="9"/>
      <c r="G19" s="161"/>
      <c r="H19" s="159"/>
      <c r="I19" s="9"/>
      <c r="J19" s="161"/>
      <c r="K19" s="159"/>
      <c r="L19" s="9"/>
      <c r="M19" s="161"/>
      <c r="N19" s="159"/>
      <c r="O19" s="9"/>
      <c r="P19" s="161"/>
      <c r="Q19" s="159"/>
      <c r="R19" s="9"/>
    </row>
    <row r="20" spans="2:18" ht="18.75" customHeight="1">
      <c r="B20" s="150"/>
      <c r="C20" s="138" t="s">
        <v>20</v>
      </c>
      <c r="D20" s="152" t="s">
        <v>914</v>
      </c>
      <c r="E20" s="153"/>
      <c r="F20" s="6">
        <v>2</v>
      </c>
      <c r="G20" s="154" t="s">
        <v>915</v>
      </c>
      <c r="H20" s="155"/>
      <c r="I20" s="7">
        <v>2</v>
      </c>
      <c r="J20" s="154" t="s">
        <v>916</v>
      </c>
      <c r="K20" s="155"/>
      <c r="L20" s="7">
        <v>2</v>
      </c>
      <c r="M20" s="154" t="s">
        <v>703</v>
      </c>
      <c r="N20" s="155"/>
      <c r="O20" s="7">
        <v>0.5</v>
      </c>
      <c r="P20" s="154" t="s">
        <v>917</v>
      </c>
      <c r="Q20" s="155"/>
      <c r="R20" s="7">
        <v>2.25</v>
      </c>
    </row>
    <row r="21" spans="2:18" ht="18.75" customHeight="1">
      <c r="B21" s="150"/>
      <c r="C21" s="139"/>
      <c r="D21" s="157" t="s">
        <v>878</v>
      </c>
      <c r="E21" s="155"/>
      <c r="F21" s="7">
        <v>1</v>
      </c>
      <c r="G21" s="216"/>
      <c r="H21" s="163"/>
      <c r="I21" s="7"/>
      <c r="J21" s="154"/>
      <c r="K21" s="155"/>
      <c r="L21" s="7"/>
      <c r="M21" s="154" t="s">
        <v>914</v>
      </c>
      <c r="N21" s="155"/>
      <c r="O21" s="7">
        <v>2</v>
      </c>
      <c r="P21" s="154"/>
      <c r="Q21" s="155"/>
      <c r="R21" s="7"/>
    </row>
    <row r="22" spans="2:18" ht="18.75" customHeight="1">
      <c r="B22" s="150"/>
      <c r="C22" s="139"/>
      <c r="D22" s="157" t="s">
        <v>918</v>
      </c>
      <c r="E22" s="155"/>
      <c r="F22" s="7">
        <v>1.5</v>
      </c>
      <c r="G22" s="216" t="s">
        <v>918</v>
      </c>
      <c r="H22" s="163"/>
      <c r="I22" s="7">
        <v>1.5</v>
      </c>
      <c r="J22" s="154" t="s">
        <v>918</v>
      </c>
      <c r="K22" s="155"/>
      <c r="L22" s="7">
        <v>1.5</v>
      </c>
      <c r="M22" s="154" t="s">
        <v>918</v>
      </c>
      <c r="N22" s="155"/>
      <c r="O22" s="7">
        <v>1.5</v>
      </c>
      <c r="P22" s="154" t="s">
        <v>918</v>
      </c>
      <c r="Q22" s="155"/>
      <c r="R22" s="7">
        <v>1.5</v>
      </c>
    </row>
    <row r="23" spans="2:18" ht="18.75" customHeight="1">
      <c r="B23" s="150"/>
      <c r="C23" s="139"/>
      <c r="D23" s="157" t="s">
        <v>863</v>
      </c>
      <c r="E23" s="155"/>
      <c r="F23" s="7">
        <v>0.5</v>
      </c>
      <c r="G23" s="154" t="s">
        <v>863</v>
      </c>
      <c r="H23" s="155"/>
      <c r="I23" s="7">
        <v>0.5</v>
      </c>
      <c r="J23" s="154" t="s">
        <v>863</v>
      </c>
      <c r="K23" s="155"/>
      <c r="L23" s="7">
        <v>0.5</v>
      </c>
      <c r="M23" s="154" t="s">
        <v>863</v>
      </c>
      <c r="N23" s="155"/>
      <c r="O23" s="7">
        <v>0.5</v>
      </c>
      <c r="P23" s="154" t="s">
        <v>863</v>
      </c>
      <c r="Q23" s="155"/>
      <c r="R23" s="7">
        <v>0.5</v>
      </c>
    </row>
    <row r="24" spans="2:18" ht="19.5" customHeight="1" thickBot="1">
      <c r="B24" s="150"/>
      <c r="C24" s="140"/>
      <c r="D24" s="157" t="s">
        <v>110</v>
      </c>
      <c r="E24" s="155"/>
      <c r="F24" s="7"/>
      <c r="G24" s="161" t="s">
        <v>110</v>
      </c>
      <c r="H24" s="159"/>
      <c r="I24" s="9"/>
      <c r="J24" s="161" t="s">
        <v>110</v>
      </c>
      <c r="K24" s="159"/>
      <c r="L24" s="9"/>
      <c r="M24" s="161" t="s">
        <v>110</v>
      </c>
      <c r="N24" s="159"/>
      <c r="O24" s="9"/>
      <c r="P24" s="161" t="s">
        <v>110</v>
      </c>
      <c r="Q24" s="159"/>
      <c r="R24" s="9"/>
    </row>
    <row r="25" spans="2:18" ht="19.5" thickBot="1">
      <c r="B25" s="151"/>
      <c r="C25" s="18" t="s">
        <v>76</v>
      </c>
      <c r="D25" s="17"/>
      <c r="E25" s="17"/>
      <c r="F25" s="18">
        <f>SUM(F15:F24)</f>
        <v>7</v>
      </c>
      <c r="G25" s="17"/>
      <c r="H25" s="17"/>
      <c r="I25" s="18">
        <f>SUM(I15:I24)</f>
        <v>7</v>
      </c>
      <c r="J25" s="17"/>
      <c r="K25" s="17"/>
      <c r="L25" s="18">
        <f>SUM(L15:L24)</f>
        <v>7</v>
      </c>
      <c r="M25" s="17"/>
      <c r="N25" s="17"/>
      <c r="O25" s="18">
        <f>SUM(O15:O24)</f>
        <v>7</v>
      </c>
      <c r="P25" s="17"/>
      <c r="Q25" s="17"/>
      <c r="R25" s="18">
        <f>SUM(R15:R24)</f>
        <v>7</v>
      </c>
    </row>
  </sheetData>
  <mergeCells count="124"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  <mergeCell ref="Q2:Q3"/>
    <mergeCell ref="R2:R3"/>
    <mergeCell ref="B4:B14"/>
    <mergeCell ref="C4:C8"/>
    <mergeCell ref="D4:E4"/>
    <mergeCell ref="G4:H4"/>
    <mergeCell ref="J4:K4"/>
    <mergeCell ref="M4:N4"/>
    <mergeCell ref="P4:Q4"/>
    <mergeCell ref="D5:E5"/>
    <mergeCell ref="K2:K3"/>
    <mergeCell ref="L2:L3"/>
    <mergeCell ref="M2:M3"/>
    <mergeCell ref="N2:N3"/>
    <mergeCell ref="O2:O3"/>
    <mergeCell ref="P2:P3"/>
    <mergeCell ref="G5:H5"/>
    <mergeCell ref="J5:K5"/>
    <mergeCell ref="M5:N5"/>
    <mergeCell ref="P5:Q5"/>
    <mergeCell ref="D6:E6"/>
    <mergeCell ref="G6:H6"/>
    <mergeCell ref="J6:K6"/>
    <mergeCell ref="M6:N6"/>
    <mergeCell ref="P6:Q6"/>
    <mergeCell ref="D7:E7"/>
    <mergeCell ref="G7:H7"/>
    <mergeCell ref="J7:K7"/>
    <mergeCell ref="M7:N7"/>
    <mergeCell ref="P7:Q7"/>
    <mergeCell ref="D8:E8"/>
    <mergeCell ref="G8:H8"/>
    <mergeCell ref="J8:K8"/>
    <mergeCell ref="M8:N8"/>
    <mergeCell ref="P8:Q8"/>
    <mergeCell ref="P10:Q10"/>
    <mergeCell ref="D11:E11"/>
    <mergeCell ref="G11:H11"/>
    <mergeCell ref="J11:K11"/>
    <mergeCell ref="M11:N11"/>
    <mergeCell ref="P11:Q11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2:E12"/>
    <mergeCell ref="G12:H12"/>
    <mergeCell ref="J12:K12"/>
    <mergeCell ref="M12:N12"/>
    <mergeCell ref="P12:Q12"/>
    <mergeCell ref="D13:E13"/>
    <mergeCell ref="G13:H13"/>
    <mergeCell ref="J13:K13"/>
    <mergeCell ref="M13:N13"/>
    <mergeCell ref="P13:Q13"/>
    <mergeCell ref="P15:Q15"/>
    <mergeCell ref="D16:E16"/>
    <mergeCell ref="G16:H16"/>
    <mergeCell ref="J16:K16"/>
    <mergeCell ref="M16:N16"/>
    <mergeCell ref="P16:Q16"/>
    <mergeCell ref="B15:B25"/>
    <mergeCell ref="C15:C19"/>
    <mergeCell ref="D15:E15"/>
    <mergeCell ref="G15:H15"/>
    <mergeCell ref="J15:K15"/>
    <mergeCell ref="M15:N15"/>
    <mergeCell ref="D17:E17"/>
    <mergeCell ref="G17:H17"/>
    <mergeCell ref="J17:K17"/>
    <mergeCell ref="M17:N17"/>
    <mergeCell ref="C20:C24"/>
    <mergeCell ref="D20:E20"/>
    <mergeCell ref="G20:H20"/>
    <mergeCell ref="J20:K20"/>
    <mergeCell ref="M20:N20"/>
    <mergeCell ref="P17:Q17"/>
    <mergeCell ref="D18:E18"/>
    <mergeCell ref="G18:H18"/>
    <mergeCell ref="J18:K18"/>
    <mergeCell ref="M18:N18"/>
    <mergeCell ref="P18:Q18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D24:E24"/>
    <mergeCell ref="G24:H24"/>
    <mergeCell ref="J24:K24"/>
    <mergeCell ref="M24:N24"/>
    <mergeCell ref="P24:Q24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</mergeCells>
  <phoneticPr fontId="1"/>
  <pageMargins left="0.7" right="0.7" top="0.75" bottom="0.75" header="0.3" footer="0.3"/>
  <pageSetup paperSize="8" scale="68" fitToHeight="0" orientation="landscape" horizontalDpi="1200" verticalDpi="120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BEC2C-22D9-42EE-972C-095ABCF722D4}">
  <sheetPr codeName="Sheet31"/>
  <dimension ref="B1:S25"/>
  <sheetViews>
    <sheetView view="pageBreakPreview" topLeftCell="E1" zoomScaleNormal="70" zoomScaleSheetLayoutView="100" workbookViewId="0">
      <selection activeCell="J9" sqref="J9:K9"/>
    </sheetView>
  </sheetViews>
  <sheetFormatPr defaultRowHeight="18.75"/>
  <cols>
    <col min="1" max="1" width="2.5" customWidth="1"/>
    <col min="4" max="18" width="16" customWidth="1"/>
  </cols>
  <sheetData>
    <row r="1" spans="2:19" ht="24.75" thickBot="1">
      <c r="D1" s="53">
        <v>45782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19" s="5" customFormat="1">
      <c r="B2" s="201"/>
      <c r="C2" s="202"/>
      <c r="D2" s="205">
        <f>D1</f>
        <v>45782</v>
      </c>
      <c r="E2" s="195" t="s">
        <v>3</v>
      </c>
      <c r="F2" s="191" t="s">
        <v>4</v>
      </c>
      <c r="G2" s="197">
        <f>D2+1</f>
        <v>45783</v>
      </c>
      <c r="H2" s="195" t="s">
        <v>5</v>
      </c>
      <c r="I2" s="191" t="s">
        <v>4</v>
      </c>
      <c r="J2" s="197">
        <f>G2+1</f>
        <v>45784</v>
      </c>
      <c r="K2" s="195" t="s">
        <v>6</v>
      </c>
      <c r="L2" s="191" t="s">
        <v>4</v>
      </c>
      <c r="M2" s="197">
        <f>J2+1</f>
        <v>45785</v>
      </c>
      <c r="N2" s="195" t="s">
        <v>7</v>
      </c>
      <c r="O2" s="191" t="s">
        <v>4</v>
      </c>
      <c r="P2" s="197">
        <f>M2+1</f>
        <v>45786</v>
      </c>
      <c r="Q2" s="195" t="s">
        <v>8</v>
      </c>
      <c r="R2" s="191" t="s">
        <v>4</v>
      </c>
    </row>
    <row r="3" spans="2:19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19" ht="18.75" customHeight="1">
      <c r="B4" s="149" t="s">
        <v>32</v>
      </c>
      <c r="C4" s="138" t="s">
        <v>9</v>
      </c>
      <c r="D4" s="156"/>
      <c r="E4" s="153"/>
      <c r="F4" s="6"/>
      <c r="G4" s="156"/>
      <c r="H4" s="153"/>
      <c r="I4" s="6"/>
      <c r="J4" s="156" t="s">
        <v>166</v>
      </c>
      <c r="K4" s="153"/>
      <c r="L4" s="6">
        <v>0.5</v>
      </c>
      <c r="M4" s="156" t="s">
        <v>166</v>
      </c>
      <c r="N4" s="153"/>
      <c r="O4" s="6">
        <v>0.5</v>
      </c>
      <c r="P4" s="264" t="s">
        <v>166</v>
      </c>
      <c r="Q4" s="153"/>
      <c r="R4" s="6">
        <v>0.5</v>
      </c>
      <c r="S4" s="95"/>
    </row>
    <row r="5" spans="2:19">
      <c r="B5" s="150"/>
      <c r="C5" s="139"/>
      <c r="D5" s="154"/>
      <c r="E5" s="155"/>
      <c r="F5" s="7"/>
      <c r="G5" s="154"/>
      <c r="H5" s="155"/>
      <c r="I5" s="7"/>
      <c r="J5" s="154" t="s">
        <v>899</v>
      </c>
      <c r="K5" s="155"/>
      <c r="L5" s="7">
        <v>0.5</v>
      </c>
      <c r="M5" s="154" t="s">
        <v>678</v>
      </c>
      <c r="N5" s="155"/>
      <c r="O5" s="7">
        <v>0.05</v>
      </c>
      <c r="P5" s="154" t="s">
        <v>679</v>
      </c>
      <c r="Q5" s="155"/>
      <c r="R5" s="7">
        <v>0.05</v>
      </c>
      <c r="S5" s="95"/>
    </row>
    <row r="6" spans="2:19">
      <c r="B6" s="150"/>
      <c r="C6" s="139"/>
      <c r="D6" s="154"/>
      <c r="E6" s="155"/>
      <c r="F6" s="117"/>
      <c r="G6" s="154"/>
      <c r="H6" s="155"/>
      <c r="I6" s="117"/>
      <c r="J6" s="238" t="s">
        <v>900</v>
      </c>
      <c r="K6" s="165"/>
      <c r="L6" s="116">
        <v>1.5</v>
      </c>
      <c r="M6" s="154" t="s">
        <v>750</v>
      </c>
      <c r="N6" s="155"/>
      <c r="O6" s="7">
        <v>1</v>
      </c>
      <c r="P6" s="154" t="s">
        <v>865</v>
      </c>
      <c r="Q6" s="155"/>
      <c r="R6" s="7">
        <v>1.5</v>
      </c>
      <c r="S6" s="95"/>
    </row>
    <row r="7" spans="2:19">
      <c r="B7" s="150"/>
      <c r="C7" s="139"/>
      <c r="D7" s="166"/>
      <c r="E7" s="142"/>
      <c r="F7" s="116"/>
      <c r="G7" s="166"/>
      <c r="H7" s="142"/>
      <c r="I7" s="116"/>
      <c r="J7" s="238" t="s">
        <v>901</v>
      </c>
      <c r="K7" s="165"/>
      <c r="L7" s="116">
        <v>1.5</v>
      </c>
      <c r="M7" s="238" t="s">
        <v>881</v>
      </c>
      <c r="N7" s="165"/>
      <c r="O7" s="116">
        <v>2</v>
      </c>
      <c r="P7" s="141" t="s">
        <v>814</v>
      </c>
      <c r="Q7" s="142"/>
      <c r="R7" s="116">
        <v>0</v>
      </c>
      <c r="S7" s="8"/>
    </row>
    <row r="8" spans="2:19" ht="19.5" thickBot="1">
      <c r="B8" s="150"/>
      <c r="C8" s="140"/>
      <c r="D8" s="217"/>
      <c r="E8" s="218"/>
      <c r="F8" s="118"/>
      <c r="G8" s="265"/>
      <c r="H8" s="266"/>
      <c r="I8" s="119"/>
      <c r="J8" s="263" t="s">
        <v>906</v>
      </c>
      <c r="K8" s="173"/>
      <c r="L8" s="119">
        <v>1</v>
      </c>
      <c r="M8" s="263"/>
      <c r="N8" s="173"/>
      <c r="O8" s="119"/>
      <c r="P8" s="263" t="s">
        <v>902</v>
      </c>
      <c r="Q8" s="173"/>
      <c r="R8" s="119">
        <v>2.2000000000000002</v>
      </c>
      <c r="S8" s="96"/>
    </row>
    <row r="9" spans="2:19" ht="18.75" customHeight="1">
      <c r="B9" s="150"/>
      <c r="C9" s="138" t="s">
        <v>20</v>
      </c>
      <c r="D9" s="238"/>
      <c r="E9" s="165"/>
      <c r="F9" s="116"/>
      <c r="G9" s="238"/>
      <c r="H9" s="165"/>
      <c r="I9" s="116"/>
      <c r="J9" s="141" t="s">
        <v>903</v>
      </c>
      <c r="K9" s="142"/>
      <c r="L9" s="116">
        <v>0.75</v>
      </c>
      <c r="M9" s="238" t="s">
        <v>904</v>
      </c>
      <c r="N9" s="165"/>
      <c r="O9" s="116">
        <v>1</v>
      </c>
      <c r="P9" s="238" t="s">
        <v>872</v>
      </c>
      <c r="Q9" s="165"/>
      <c r="R9" s="116">
        <v>1.5</v>
      </c>
      <c r="S9" s="11"/>
    </row>
    <row r="10" spans="2:19" ht="18.75" customHeight="1">
      <c r="B10" s="150"/>
      <c r="C10" s="139"/>
      <c r="D10" s="141"/>
      <c r="E10" s="142"/>
      <c r="F10" s="116"/>
      <c r="G10" s="141"/>
      <c r="H10" s="142"/>
      <c r="I10" s="116"/>
      <c r="J10" s="141"/>
      <c r="K10" s="142"/>
      <c r="L10" s="116"/>
      <c r="M10" s="141" t="s">
        <v>905</v>
      </c>
      <c r="N10" s="142"/>
      <c r="O10" s="116">
        <v>0.7</v>
      </c>
      <c r="P10" s="141"/>
      <c r="Q10" s="142"/>
      <c r="R10" s="116"/>
      <c r="S10" s="11"/>
    </row>
    <row r="11" spans="2:19" ht="18.75" customHeight="1">
      <c r="B11" s="150"/>
      <c r="C11" s="139"/>
      <c r="D11" s="154"/>
      <c r="E11" s="155"/>
      <c r="F11" s="116"/>
      <c r="G11" s="141"/>
      <c r="H11" s="142"/>
      <c r="I11" s="116"/>
      <c r="J11" s="141"/>
      <c r="K11" s="142"/>
      <c r="L11" s="116"/>
      <c r="M11" s="267" t="s">
        <v>682</v>
      </c>
      <c r="N11" s="268"/>
      <c r="O11" s="116">
        <v>0.5</v>
      </c>
      <c r="P11" s="141"/>
      <c r="Q11" s="142"/>
      <c r="R11" s="116"/>
      <c r="S11" s="96"/>
    </row>
    <row r="12" spans="2:19" ht="18.75" customHeight="1">
      <c r="B12" s="150"/>
      <c r="C12" s="139"/>
      <c r="D12" s="154"/>
      <c r="E12" s="155"/>
      <c r="F12" s="116"/>
      <c r="G12" s="154"/>
      <c r="H12" s="155"/>
      <c r="I12" s="116"/>
      <c r="J12" s="154" t="s">
        <v>848</v>
      </c>
      <c r="K12" s="155"/>
      <c r="L12" s="116">
        <v>1</v>
      </c>
      <c r="M12" s="154" t="s">
        <v>848</v>
      </c>
      <c r="N12" s="155"/>
      <c r="O12" s="116">
        <v>1</v>
      </c>
      <c r="P12" s="154" t="s">
        <v>848</v>
      </c>
      <c r="Q12" s="155"/>
      <c r="R12" s="116">
        <v>1</v>
      </c>
      <c r="S12" s="96"/>
    </row>
    <row r="13" spans="2:19" ht="19.5" customHeight="1" thickBot="1">
      <c r="B13" s="150"/>
      <c r="C13" s="140"/>
      <c r="D13" s="160"/>
      <c r="E13" s="159"/>
      <c r="F13" s="9"/>
      <c r="G13" s="160"/>
      <c r="H13" s="159"/>
      <c r="I13" s="9"/>
      <c r="J13" s="160" t="s">
        <v>849</v>
      </c>
      <c r="K13" s="159"/>
      <c r="L13" s="9">
        <v>1</v>
      </c>
      <c r="M13" s="160" t="s">
        <v>849</v>
      </c>
      <c r="N13" s="159"/>
      <c r="O13" s="9">
        <v>1</v>
      </c>
      <c r="P13" s="160" t="s">
        <v>849</v>
      </c>
      <c r="Q13" s="159"/>
      <c r="R13" s="9">
        <v>1</v>
      </c>
    </row>
    <row r="14" spans="2:19" ht="19.5" thickBot="1">
      <c r="B14" s="151"/>
      <c r="C14" s="18" t="s">
        <v>76</v>
      </c>
      <c r="D14" s="17"/>
      <c r="E14" s="17"/>
      <c r="F14" s="18">
        <f>SUM(F4:F13)</f>
        <v>0</v>
      </c>
      <c r="G14" s="17"/>
      <c r="H14" s="17"/>
      <c r="I14" s="18">
        <f>SUM(I4:I13)</f>
        <v>0</v>
      </c>
      <c r="J14" s="17"/>
      <c r="K14" s="17"/>
      <c r="L14" s="18">
        <f>SUM(L4:L13)</f>
        <v>7.75</v>
      </c>
      <c r="M14" s="17"/>
      <c r="N14" s="17"/>
      <c r="O14" s="18">
        <f>SUM(O4:O13)</f>
        <v>7.75</v>
      </c>
      <c r="P14" s="17"/>
      <c r="Q14" s="17"/>
      <c r="R14" s="18">
        <f>SUM(R4:R13)</f>
        <v>7.75</v>
      </c>
    </row>
    <row r="15" spans="2:19" ht="18.75" customHeight="1">
      <c r="B15" s="149" t="s">
        <v>65</v>
      </c>
      <c r="C15" s="138" t="s">
        <v>9</v>
      </c>
      <c r="D15" s="152"/>
      <c r="E15" s="153"/>
      <c r="F15" s="6"/>
      <c r="G15" s="216"/>
      <c r="H15" s="163"/>
      <c r="I15" s="6"/>
      <c r="J15" s="154" t="s">
        <v>888</v>
      </c>
      <c r="K15" s="155"/>
      <c r="L15" s="6">
        <v>1</v>
      </c>
      <c r="M15" s="154" t="s">
        <v>889</v>
      </c>
      <c r="N15" s="155"/>
      <c r="O15" s="6">
        <v>1.5</v>
      </c>
      <c r="P15" s="156" t="s">
        <v>671</v>
      </c>
      <c r="Q15" s="153"/>
      <c r="R15" s="6">
        <v>0.25</v>
      </c>
    </row>
    <row r="16" spans="2:19" ht="18.75" customHeight="1">
      <c r="B16" s="150"/>
      <c r="C16" s="139"/>
      <c r="D16" s="157"/>
      <c r="E16" s="155"/>
      <c r="F16" s="7"/>
      <c r="G16" s="154"/>
      <c r="H16" s="155"/>
      <c r="I16" s="7"/>
      <c r="J16" s="154" t="s">
        <v>890</v>
      </c>
      <c r="K16" s="155"/>
      <c r="L16" s="7">
        <v>0.5</v>
      </c>
      <c r="M16" s="154" t="s">
        <v>891</v>
      </c>
      <c r="N16" s="155"/>
      <c r="O16" s="7">
        <v>1.5</v>
      </c>
      <c r="P16" s="154" t="s">
        <v>697</v>
      </c>
      <c r="Q16" s="155"/>
      <c r="R16" s="7">
        <v>1.5</v>
      </c>
    </row>
    <row r="17" spans="2:18" ht="18.75" customHeight="1">
      <c r="B17" s="150"/>
      <c r="C17" s="139"/>
      <c r="D17" s="157"/>
      <c r="E17" s="155"/>
      <c r="F17" s="7"/>
      <c r="G17" s="216"/>
      <c r="H17" s="163"/>
      <c r="I17" s="7"/>
      <c r="J17" s="154" t="s">
        <v>892</v>
      </c>
      <c r="K17" s="155"/>
      <c r="L17" s="7">
        <v>0.5</v>
      </c>
      <c r="M17" s="154" t="s">
        <v>898</v>
      </c>
      <c r="N17" s="155"/>
      <c r="O17" s="7">
        <v>0.5</v>
      </c>
      <c r="P17" s="154" t="s">
        <v>893</v>
      </c>
      <c r="Q17" s="155"/>
      <c r="R17" s="7">
        <v>1.75</v>
      </c>
    </row>
    <row r="18" spans="2:18" ht="18.75" customHeight="1">
      <c r="B18" s="150"/>
      <c r="C18" s="139"/>
      <c r="D18" s="221"/>
      <c r="E18" s="222"/>
      <c r="F18" s="7"/>
      <c r="G18" s="154"/>
      <c r="H18" s="155"/>
      <c r="I18" s="12"/>
      <c r="J18" s="154" t="s">
        <v>906</v>
      </c>
      <c r="K18" s="155"/>
      <c r="L18" s="12">
        <v>1</v>
      </c>
      <c r="M18" s="154"/>
      <c r="N18" s="155"/>
      <c r="O18" s="12"/>
      <c r="P18" s="154"/>
      <c r="Q18" s="155"/>
      <c r="R18" s="12"/>
    </row>
    <row r="19" spans="2:18" ht="19.5" customHeight="1" thickBot="1">
      <c r="B19" s="150"/>
      <c r="C19" s="140"/>
      <c r="D19" s="158"/>
      <c r="E19" s="159"/>
      <c r="F19" s="9"/>
      <c r="G19" s="161"/>
      <c r="H19" s="159"/>
      <c r="I19" s="9"/>
      <c r="J19" s="161"/>
      <c r="K19" s="159"/>
      <c r="L19" s="9"/>
      <c r="M19" s="161"/>
      <c r="N19" s="159"/>
      <c r="O19" s="9"/>
      <c r="P19" s="161"/>
      <c r="Q19" s="159"/>
      <c r="R19" s="9"/>
    </row>
    <row r="20" spans="2:18" ht="18.75" customHeight="1">
      <c r="B20" s="150"/>
      <c r="C20" s="138" t="s">
        <v>20</v>
      </c>
      <c r="D20" s="152"/>
      <c r="E20" s="153"/>
      <c r="F20" s="6"/>
      <c r="G20" s="154"/>
      <c r="H20" s="155"/>
      <c r="I20" s="7"/>
      <c r="J20" s="154" t="s">
        <v>671</v>
      </c>
      <c r="K20" s="155"/>
      <c r="L20" s="7">
        <v>0.5</v>
      </c>
      <c r="M20" s="154" t="s">
        <v>703</v>
      </c>
      <c r="N20" s="155"/>
      <c r="O20" s="7">
        <v>0.5</v>
      </c>
      <c r="P20" s="154"/>
      <c r="Q20" s="155"/>
      <c r="R20" s="7"/>
    </row>
    <row r="21" spans="2:18" ht="18.75" customHeight="1">
      <c r="B21" s="150"/>
      <c r="C21" s="139"/>
      <c r="D21" s="157"/>
      <c r="E21" s="155"/>
      <c r="F21" s="7"/>
      <c r="G21" s="216"/>
      <c r="H21" s="163"/>
      <c r="I21" s="7"/>
      <c r="J21" s="154" t="s">
        <v>894</v>
      </c>
      <c r="K21" s="155"/>
      <c r="L21" s="7">
        <v>1</v>
      </c>
      <c r="M21" s="154" t="s">
        <v>895</v>
      </c>
      <c r="N21" s="155"/>
      <c r="O21" s="7">
        <v>0.75</v>
      </c>
      <c r="P21" s="154" t="s">
        <v>896</v>
      </c>
      <c r="Q21" s="155"/>
      <c r="R21" s="7">
        <v>1</v>
      </c>
    </row>
    <row r="22" spans="2:18" ht="18.75" customHeight="1">
      <c r="B22" s="150"/>
      <c r="C22" s="139"/>
      <c r="D22" s="157"/>
      <c r="E22" s="155"/>
      <c r="F22" s="7"/>
      <c r="G22" s="216"/>
      <c r="H22" s="163"/>
      <c r="I22" s="7"/>
      <c r="J22" s="154" t="s">
        <v>897</v>
      </c>
      <c r="K22" s="155"/>
      <c r="L22" s="7">
        <v>1.5</v>
      </c>
      <c r="M22" s="154" t="s">
        <v>897</v>
      </c>
      <c r="N22" s="155"/>
      <c r="O22" s="7">
        <v>1.25</v>
      </c>
      <c r="P22" s="154" t="s">
        <v>897</v>
      </c>
      <c r="Q22" s="155"/>
      <c r="R22" s="7">
        <v>1.5</v>
      </c>
    </row>
    <row r="23" spans="2:18" ht="18.75" customHeight="1">
      <c r="B23" s="150"/>
      <c r="C23" s="139"/>
      <c r="D23" s="157"/>
      <c r="E23" s="155"/>
      <c r="F23" s="7"/>
      <c r="G23" s="154"/>
      <c r="H23" s="155"/>
      <c r="I23" s="7"/>
      <c r="J23" s="154" t="s">
        <v>863</v>
      </c>
      <c r="K23" s="155"/>
      <c r="L23" s="7">
        <v>1</v>
      </c>
      <c r="M23" s="154" t="s">
        <v>863</v>
      </c>
      <c r="N23" s="155"/>
      <c r="O23" s="7">
        <v>1</v>
      </c>
      <c r="P23" s="154" t="s">
        <v>863</v>
      </c>
      <c r="Q23" s="155"/>
      <c r="R23" s="7">
        <v>1</v>
      </c>
    </row>
    <row r="24" spans="2:18" ht="19.5" customHeight="1" thickBot="1">
      <c r="B24" s="150"/>
      <c r="C24" s="140"/>
      <c r="D24" s="157"/>
      <c r="E24" s="155"/>
      <c r="F24" s="7"/>
      <c r="G24" s="161"/>
      <c r="H24" s="159"/>
      <c r="I24" s="9"/>
      <c r="J24" s="161" t="s">
        <v>110</v>
      </c>
      <c r="K24" s="159"/>
      <c r="L24" s="9"/>
      <c r="M24" s="161" t="s">
        <v>110</v>
      </c>
      <c r="N24" s="159"/>
      <c r="O24" s="9"/>
      <c r="P24" s="161" t="s">
        <v>110</v>
      </c>
      <c r="Q24" s="159"/>
      <c r="R24" s="9"/>
    </row>
    <row r="25" spans="2:18" ht="19.5" thickBot="1">
      <c r="B25" s="151"/>
      <c r="C25" s="18" t="s">
        <v>76</v>
      </c>
      <c r="D25" s="17"/>
      <c r="E25" s="17"/>
      <c r="F25" s="18">
        <f>SUM(F15:F24)</f>
        <v>0</v>
      </c>
      <c r="G25" s="17"/>
      <c r="H25" s="17"/>
      <c r="I25" s="18">
        <f>SUM(I15:I24)</f>
        <v>0</v>
      </c>
      <c r="J25" s="17"/>
      <c r="K25" s="17"/>
      <c r="L25" s="18">
        <f>SUM(L15:L24)</f>
        <v>7</v>
      </c>
      <c r="M25" s="17"/>
      <c r="N25" s="17"/>
      <c r="O25" s="18">
        <f>SUM(O15:O24)</f>
        <v>7</v>
      </c>
      <c r="P25" s="17"/>
      <c r="Q25" s="17"/>
      <c r="R25" s="18">
        <f>SUM(R15:R24)</f>
        <v>7</v>
      </c>
    </row>
  </sheetData>
  <mergeCells count="124">
    <mergeCell ref="D24:E24"/>
    <mergeCell ref="G24:H24"/>
    <mergeCell ref="J24:K24"/>
    <mergeCell ref="M24:N24"/>
    <mergeCell ref="P24:Q24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  <mergeCell ref="D18:E18"/>
    <mergeCell ref="G18:H18"/>
    <mergeCell ref="J18:K18"/>
    <mergeCell ref="M18:N18"/>
    <mergeCell ref="P18:Q18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M13:N13"/>
    <mergeCell ref="P13:Q13"/>
    <mergeCell ref="P15:Q15"/>
    <mergeCell ref="D16:E16"/>
    <mergeCell ref="G16:H16"/>
    <mergeCell ref="J16:K16"/>
    <mergeCell ref="M16:N16"/>
    <mergeCell ref="P16:Q16"/>
    <mergeCell ref="B15:B25"/>
    <mergeCell ref="C15:C19"/>
    <mergeCell ref="D15:E15"/>
    <mergeCell ref="G15:H15"/>
    <mergeCell ref="J15:K15"/>
    <mergeCell ref="M15:N15"/>
    <mergeCell ref="D17:E17"/>
    <mergeCell ref="G17:H17"/>
    <mergeCell ref="J17:K17"/>
    <mergeCell ref="M17:N17"/>
    <mergeCell ref="C20:C24"/>
    <mergeCell ref="D20:E20"/>
    <mergeCell ref="G20:H20"/>
    <mergeCell ref="J20:K20"/>
    <mergeCell ref="M20:N20"/>
    <mergeCell ref="P17:Q17"/>
    <mergeCell ref="P10:Q10"/>
    <mergeCell ref="D11:E11"/>
    <mergeCell ref="G11:H11"/>
    <mergeCell ref="J11:K11"/>
    <mergeCell ref="M11:N11"/>
    <mergeCell ref="P11:Q11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2:E12"/>
    <mergeCell ref="G12:H12"/>
    <mergeCell ref="J12:K12"/>
    <mergeCell ref="M12:N12"/>
    <mergeCell ref="P12:Q12"/>
    <mergeCell ref="D13:E13"/>
    <mergeCell ref="G13:H13"/>
    <mergeCell ref="J13:K13"/>
    <mergeCell ref="D7:E7"/>
    <mergeCell ref="G7:H7"/>
    <mergeCell ref="J7:K7"/>
    <mergeCell ref="M7:N7"/>
    <mergeCell ref="P7:Q7"/>
    <mergeCell ref="D8:E8"/>
    <mergeCell ref="G8:H8"/>
    <mergeCell ref="J8:K8"/>
    <mergeCell ref="M8:N8"/>
    <mergeCell ref="P8:Q8"/>
    <mergeCell ref="R2:R3"/>
    <mergeCell ref="B4:B14"/>
    <mergeCell ref="C4:C8"/>
    <mergeCell ref="D4:E4"/>
    <mergeCell ref="G4:H4"/>
    <mergeCell ref="J4:K4"/>
    <mergeCell ref="M4:N4"/>
    <mergeCell ref="P4:Q4"/>
    <mergeCell ref="D5:E5"/>
    <mergeCell ref="K2:K3"/>
    <mergeCell ref="L2:L3"/>
    <mergeCell ref="M2:M3"/>
    <mergeCell ref="N2:N3"/>
    <mergeCell ref="O2:O3"/>
    <mergeCell ref="P2:P3"/>
    <mergeCell ref="G5:H5"/>
    <mergeCell ref="J5:K5"/>
    <mergeCell ref="M5:N5"/>
    <mergeCell ref="P5:Q5"/>
    <mergeCell ref="D6:E6"/>
    <mergeCell ref="G6:H6"/>
    <mergeCell ref="J6:K6"/>
    <mergeCell ref="M6:N6"/>
    <mergeCell ref="P6:Q6"/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  <mergeCell ref="Q2:Q3"/>
  </mergeCells>
  <phoneticPr fontId="1"/>
  <pageMargins left="0.7" right="0.7" top="0.75" bottom="0.75" header="0.3" footer="0.3"/>
  <pageSetup paperSize="8" scale="67" orientation="landscape" horizontalDpi="1200" verticalDpi="120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002AE-109A-4FD4-9FE1-01DB341D8CB8}">
  <sheetPr codeName="Sheet32"/>
  <dimension ref="B1:S25"/>
  <sheetViews>
    <sheetView view="pageBreakPreview" zoomScale="85" zoomScaleNormal="70" zoomScaleSheetLayoutView="85" workbookViewId="0">
      <selection activeCell="E34" sqref="E34"/>
    </sheetView>
  </sheetViews>
  <sheetFormatPr defaultRowHeight="18.75"/>
  <cols>
    <col min="1" max="1" width="2.5" customWidth="1"/>
    <col min="4" max="18" width="16" customWidth="1"/>
  </cols>
  <sheetData>
    <row r="1" spans="2:19" ht="24.75" thickBot="1">
      <c r="D1" s="53">
        <v>45775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19" s="5" customFormat="1">
      <c r="B2" s="201"/>
      <c r="C2" s="202"/>
      <c r="D2" s="205">
        <f>D1</f>
        <v>45775</v>
      </c>
      <c r="E2" s="195" t="s">
        <v>3</v>
      </c>
      <c r="F2" s="191" t="s">
        <v>4</v>
      </c>
      <c r="G2" s="197">
        <f>D2+1</f>
        <v>45776</v>
      </c>
      <c r="H2" s="195" t="s">
        <v>5</v>
      </c>
      <c r="I2" s="191" t="s">
        <v>4</v>
      </c>
      <c r="J2" s="197">
        <f>G2+1</f>
        <v>45777</v>
      </c>
      <c r="K2" s="195" t="s">
        <v>6</v>
      </c>
      <c r="L2" s="191" t="s">
        <v>4</v>
      </c>
      <c r="M2" s="197">
        <f>J2+1</f>
        <v>45778</v>
      </c>
      <c r="N2" s="195" t="s">
        <v>7</v>
      </c>
      <c r="O2" s="191" t="s">
        <v>4</v>
      </c>
      <c r="P2" s="197">
        <f>M2+1</f>
        <v>45779</v>
      </c>
      <c r="Q2" s="195" t="s">
        <v>8</v>
      </c>
      <c r="R2" s="191" t="s">
        <v>4</v>
      </c>
    </row>
    <row r="3" spans="2:19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19" ht="18.75" customHeight="1">
      <c r="B4" s="149" t="s">
        <v>32</v>
      </c>
      <c r="C4" s="138" t="s">
        <v>9</v>
      </c>
      <c r="D4" s="193" t="s">
        <v>884</v>
      </c>
      <c r="E4" s="194"/>
      <c r="F4" s="75">
        <v>0.5</v>
      </c>
      <c r="G4" s="193"/>
      <c r="H4" s="194"/>
      <c r="I4" s="75"/>
      <c r="J4" s="193" t="s">
        <v>166</v>
      </c>
      <c r="K4" s="194"/>
      <c r="L4" s="75">
        <v>0.5</v>
      </c>
      <c r="M4" s="193" t="s">
        <v>166</v>
      </c>
      <c r="N4" s="194"/>
      <c r="O4" s="75">
        <v>0.5</v>
      </c>
      <c r="P4" s="258" t="s">
        <v>166</v>
      </c>
      <c r="Q4" s="194"/>
      <c r="R4" s="75">
        <v>0.5</v>
      </c>
      <c r="S4" s="95"/>
    </row>
    <row r="5" spans="2:19">
      <c r="B5" s="150"/>
      <c r="C5" s="139"/>
      <c r="D5" s="183" t="s">
        <v>675</v>
      </c>
      <c r="E5" s="184"/>
      <c r="F5" s="32">
        <v>0.05</v>
      </c>
      <c r="G5" s="183"/>
      <c r="H5" s="184"/>
      <c r="I5" s="32"/>
      <c r="J5" s="183" t="s">
        <v>677</v>
      </c>
      <c r="K5" s="184"/>
      <c r="L5" s="32">
        <v>0.05</v>
      </c>
      <c r="M5" s="183" t="s">
        <v>678</v>
      </c>
      <c r="N5" s="184"/>
      <c r="O5" s="32">
        <v>0.05</v>
      </c>
      <c r="P5" s="183" t="s">
        <v>679</v>
      </c>
      <c r="Q5" s="184"/>
      <c r="R5" s="32">
        <v>0.05</v>
      </c>
      <c r="S5" s="95"/>
    </row>
    <row r="6" spans="2:19">
      <c r="B6" s="150"/>
      <c r="C6" s="139"/>
      <c r="D6" s="183" t="s">
        <v>847</v>
      </c>
      <c r="E6" s="184"/>
      <c r="F6" s="113">
        <v>0.25</v>
      </c>
      <c r="G6" s="183"/>
      <c r="H6" s="184"/>
      <c r="I6" s="113"/>
      <c r="J6" s="181" t="s">
        <v>881</v>
      </c>
      <c r="K6" s="182"/>
      <c r="L6" s="111">
        <v>2</v>
      </c>
      <c r="M6" s="183" t="s">
        <v>750</v>
      </c>
      <c r="N6" s="184"/>
      <c r="O6" s="32">
        <v>1</v>
      </c>
      <c r="P6" s="183"/>
      <c r="Q6" s="184"/>
      <c r="R6" s="32"/>
      <c r="S6" s="95"/>
    </row>
    <row r="7" spans="2:19">
      <c r="B7" s="150"/>
      <c r="C7" s="139"/>
      <c r="D7" s="188" t="s">
        <v>882</v>
      </c>
      <c r="E7" s="148"/>
      <c r="F7" s="111">
        <v>2</v>
      </c>
      <c r="G7" s="181"/>
      <c r="H7" s="182"/>
      <c r="I7" s="111"/>
      <c r="J7" s="181"/>
      <c r="K7" s="182"/>
      <c r="L7" s="111"/>
      <c r="M7" s="181" t="s">
        <v>881</v>
      </c>
      <c r="N7" s="182"/>
      <c r="O7" s="111">
        <v>2</v>
      </c>
      <c r="P7" s="147"/>
      <c r="Q7" s="148"/>
      <c r="R7" s="111"/>
      <c r="S7" s="8"/>
    </row>
    <row r="8" spans="2:19" ht="19.5" thickBot="1">
      <c r="B8" s="150"/>
      <c r="C8" s="140"/>
      <c r="D8" s="239" t="s">
        <v>847</v>
      </c>
      <c r="E8" s="279"/>
      <c r="F8" s="112">
        <v>0.25</v>
      </c>
      <c r="G8" s="280"/>
      <c r="H8" s="281"/>
      <c r="I8" s="120"/>
      <c r="J8" s="259"/>
      <c r="K8" s="190"/>
      <c r="L8" s="120"/>
      <c r="M8" s="259"/>
      <c r="N8" s="190"/>
      <c r="O8" s="120"/>
      <c r="P8" s="259" t="s">
        <v>883</v>
      </c>
      <c r="Q8" s="190"/>
      <c r="R8" s="120">
        <v>2.2000000000000002</v>
      </c>
      <c r="S8" s="96"/>
    </row>
    <row r="9" spans="2:19" ht="18.75" customHeight="1">
      <c r="B9" s="150"/>
      <c r="C9" s="138" t="s">
        <v>20</v>
      </c>
      <c r="D9" s="181" t="s">
        <v>881</v>
      </c>
      <c r="E9" s="182"/>
      <c r="F9" s="111">
        <v>1</v>
      </c>
      <c r="G9" s="181"/>
      <c r="H9" s="182"/>
      <c r="I9" s="111"/>
      <c r="J9" s="181" t="s">
        <v>881</v>
      </c>
      <c r="K9" s="182"/>
      <c r="L9" s="111">
        <v>2</v>
      </c>
      <c r="M9" s="181" t="s">
        <v>881</v>
      </c>
      <c r="N9" s="182"/>
      <c r="O9" s="111">
        <v>1.2</v>
      </c>
      <c r="P9" s="181" t="s">
        <v>881</v>
      </c>
      <c r="Q9" s="182"/>
      <c r="R9" s="111">
        <v>1</v>
      </c>
      <c r="S9" s="11"/>
    </row>
    <row r="10" spans="2:19" ht="18.75" customHeight="1">
      <c r="B10" s="150"/>
      <c r="C10" s="139"/>
      <c r="D10" s="147" t="s">
        <v>870</v>
      </c>
      <c r="E10" s="148"/>
      <c r="F10" s="111">
        <v>1.7</v>
      </c>
      <c r="G10" s="147"/>
      <c r="H10" s="148"/>
      <c r="I10" s="111"/>
      <c r="J10" s="147" t="s">
        <v>870</v>
      </c>
      <c r="K10" s="148"/>
      <c r="L10" s="111">
        <v>1.2</v>
      </c>
      <c r="M10" s="147" t="s">
        <v>870</v>
      </c>
      <c r="N10" s="148"/>
      <c r="O10" s="111">
        <v>1</v>
      </c>
      <c r="P10" s="147" t="s">
        <v>870</v>
      </c>
      <c r="Q10" s="148"/>
      <c r="R10" s="111">
        <v>1</v>
      </c>
      <c r="S10" s="11"/>
    </row>
    <row r="11" spans="2:19" ht="18.75" customHeight="1">
      <c r="B11" s="150"/>
      <c r="C11" s="139"/>
      <c r="D11" s="183"/>
      <c r="E11" s="184"/>
      <c r="F11" s="111"/>
      <c r="G11" s="147"/>
      <c r="H11" s="148"/>
      <c r="I11" s="111"/>
      <c r="J11" s="147"/>
      <c r="K11" s="148"/>
      <c r="L11" s="111"/>
      <c r="M11" s="277"/>
      <c r="N11" s="278"/>
      <c r="O11" s="111"/>
      <c r="P11" s="147" t="s">
        <v>885</v>
      </c>
      <c r="Q11" s="148"/>
      <c r="R11" s="111">
        <v>1</v>
      </c>
      <c r="S11" s="96"/>
    </row>
    <row r="12" spans="2:19" ht="18.75" customHeight="1">
      <c r="B12" s="150"/>
      <c r="C12" s="139"/>
      <c r="D12" s="183" t="s">
        <v>848</v>
      </c>
      <c r="E12" s="184"/>
      <c r="F12" s="111">
        <v>1</v>
      </c>
      <c r="G12" s="183"/>
      <c r="H12" s="184"/>
      <c r="I12" s="111"/>
      <c r="J12" s="183" t="s">
        <v>848</v>
      </c>
      <c r="K12" s="184"/>
      <c r="L12" s="111">
        <v>1</v>
      </c>
      <c r="M12" s="183" t="s">
        <v>848</v>
      </c>
      <c r="N12" s="184"/>
      <c r="O12" s="111">
        <v>1</v>
      </c>
      <c r="P12" s="183" t="s">
        <v>848</v>
      </c>
      <c r="Q12" s="184"/>
      <c r="R12" s="111">
        <v>1</v>
      </c>
      <c r="S12" s="96"/>
    </row>
    <row r="13" spans="2:19" ht="19.5" customHeight="1" thickBot="1">
      <c r="B13" s="150"/>
      <c r="C13" s="140"/>
      <c r="D13" s="178" t="s">
        <v>849</v>
      </c>
      <c r="E13" s="179"/>
      <c r="F13" s="59">
        <v>1</v>
      </c>
      <c r="G13" s="178"/>
      <c r="H13" s="179"/>
      <c r="I13" s="59"/>
      <c r="J13" s="178" t="s">
        <v>849</v>
      </c>
      <c r="K13" s="179"/>
      <c r="L13" s="59">
        <v>1</v>
      </c>
      <c r="M13" s="178" t="s">
        <v>849</v>
      </c>
      <c r="N13" s="179"/>
      <c r="O13" s="59">
        <v>1</v>
      </c>
      <c r="P13" s="178" t="s">
        <v>849</v>
      </c>
      <c r="Q13" s="179"/>
      <c r="R13" s="59">
        <v>1</v>
      </c>
    </row>
    <row r="14" spans="2:19" ht="19.5" thickBot="1">
      <c r="B14" s="151"/>
      <c r="C14" s="18" t="s">
        <v>76</v>
      </c>
      <c r="D14" s="17"/>
      <c r="E14" s="17"/>
      <c r="F14" s="18">
        <f>SUM(F4:F13)</f>
        <v>7.75</v>
      </c>
      <c r="G14" s="17"/>
      <c r="H14" s="17"/>
      <c r="I14" s="18">
        <f>SUM(I4:I13)</f>
        <v>0</v>
      </c>
      <c r="J14" s="17"/>
      <c r="K14" s="17"/>
      <c r="L14" s="18">
        <f>SUM(L4:L13)</f>
        <v>7.75</v>
      </c>
      <c r="M14" s="17"/>
      <c r="N14" s="17"/>
      <c r="O14" s="18">
        <f>SUM(O4:O13)</f>
        <v>7.75</v>
      </c>
      <c r="P14" s="17"/>
      <c r="Q14" s="17"/>
      <c r="R14" s="18">
        <f>SUM(R4:R13)</f>
        <v>7.75</v>
      </c>
    </row>
    <row r="15" spans="2:19" ht="18.75" customHeight="1">
      <c r="B15" s="149" t="s">
        <v>65</v>
      </c>
      <c r="C15" s="138" t="s">
        <v>9</v>
      </c>
      <c r="D15" s="275"/>
      <c r="E15" s="276"/>
      <c r="F15" s="121"/>
      <c r="G15" s="216"/>
      <c r="H15" s="163"/>
      <c r="I15" s="6"/>
      <c r="J15" s="154" t="s">
        <v>886</v>
      </c>
      <c r="K15" s="155"/>
      <c r="L15" s="6">
        <v>1.5</v>
      </c>
      <c r="M15" s="154" t="s">
        <v>887</v>
      </c>
      <c r="N15" s="155"/>
      <c r="O15" s="6">
        <v>1</v>
      </c>
      <c r="P15" s="156" t="s">
        <v>671</v>
      </c>
      <c r="Q15" s="153"/>
      <c r="R15" s="6">
        <v>0.25</v>
      </c>
    </row>
    <row r="16" spans="2:19" ht="18.75" customHeight="1">
      <c r="B16" s="150"/>
      <c r="C16" s="139"/>
      <c r="D16" s="269"/>
      <c r="E16" s="270"/>
      <c r="F16" s="122"/>
      <c r="G16" s="154"/>
      <c r="H16" s="155"/>
      <c r="I16" s="7"/>
      <c r="J16" s="154" t="s">
        <v>873</v>
      </c>
      <c r="K16" s="155"/>
      <c r="L16" s="7">
        <v>1</v>
      </c>
      <c r="M16" s="154" t="s">
        <v>874</v>
      </c>
      <c r="N16" s="155"/>
      <c r="O16" s="7">
        <v>1.5</v>
      </c>
      <c r="P16" s="154" t="s">
        <v>875</v>
      </c>
      <c r="Q16" s="155"/>
      <c r="R16" s="7">
        <v>0.75</v>
      </c>
    </row>
    <row r="17" spans="2:18" ht="18.75" customHeight="1">
      <c r="B17" s="150"/>
      <c r="C17" s="139"/>
      <c r="D17" s="269"/>
      <c r="E17" s="270"/>
      <c r="F17" s="122"/>
      <c r="G17" s="216"/>
      <c r="H17" s="163"/>
      <c r="I17" s="7"/>
      <c r="J17" s="154" t="s">
        <v>876</v>
      </c>
      <c r="K17" s="155"/>
      <c r="L17" s="7">
        <v>1</v>
      </c>
      <c r="M17" s="154" t="s">
        <v>877</v>
      </c>
      <c r="N17" s="155"/>
      <c r="O17" s="7">
        <v>1</v>
      </c>
      <c r="P17" s="154" t="s">
        <v>697</v>
      </c>
      <c r="Q17" s="155"/>
      <c r="R17" s="7">
        <v>2</v>
      </c>
    </row>
    <row r="18" spans="2:18" ht="18.75" customHeight="1">
      <c r="B18" s="150"/>
      <c r="C18" s="139"/>
      <c r="D18" s="271"/>
      <c r="E18" s="272"/>
      <c r="F18" s="122"/>
      <c r="G18" s="154"/>
      <c r="H18" s="155"/>
      <c r="I18" s="12"/>
      <c r="J18" s="154"/>
      <c r="K18" s="155"/>
      <c r="L18" s="12"/>
      <c r="M18" s="154" t="s">
        <v>878</v>
      </c>
      <c r="N18" s="155"/>
      <c r="O18" s="12">
        <v>1</v>
      </c>
      <c r="P18" s="154" t="s">
        <v>852</v>
      </c>
      <c r="Q18" s="155"/>
      <c r="R18" s="12">
        <v>0.75</v>
      </c>
    </row>
    <row r="19" spans="2:18" ht="19.5" customHeight="1" thickBot="1">
      <c r="B19" s="150"/>
      <c r="C19" s="140"/>
      <c r="D19" s="273" t="s">
        <v>880</v>
      </c>
      <c r="E19" s="274"/>
      <c r="F19" s="123"/>
      <c r="G19" s="161"/>
      <c r="H19" s="159"/>
      <c r="I19" s="9"/>
      <c r="J19" s="161"/>
      <c r="K19" s="159"/>
      <c r="L19" s="9"/>
      <c r="M19" s="161"/>
      <c r="N19" s="159"/>
      <c r="O19" s="9"/>
      <c r="P19" s="161"/>
      <c r="Q19" s="159"/>
      <c r="R19" s="9"/>
    </row>
    <row r="20" spans="2:18" ht="18.75" customHeight="1">
      <c r="B20" s="150"/>
      <c r="C20" s="138" t="s">
        <v>20</v>
      </c>
      <c r="D20" s="275"/>
      <c r="E20" s="276"/>
      <c r="F20" s="121"/>
      <c r="G20" s="154"/>
      <c r="H20" s="155"/>
      <c r="I20" s="7"/>
      <c r="J20" s="154" t="s">
        <v>671</v>
      </c>
      <c r="K20" s="155"/>
      <c r="L20" s="7">
        <v>0.5</v>
      </c>
      <c r="M20" s="154" t="s">
        <v>703</v>
      </c>
      <c r="N20" s="155"/>
      <c r="O20" s="7">
        <v>0.5</v>
      </c>
      <c r="P20" s="154" t="s">
        <v>852</v>
      </c>
      <c r="Q20" s="155"/>
      <c r="R20" s="7">
        <v>1.75</v>
      </c>
    </row>
    <row r="21" spans="2:18" ht="18.75" customHeight="1">
      <c r="B21" s="150"/>
      <c r="C21" s="139"/>
      <c r="D21" s="269"/>
      <c r="E21" s="270"/>
      <c r="F21" s="122"/>
      <c r="G21" s="216"/>
      <c r="H21" s="163"/>
      <c r="I21" s="7"/>
      <c r="J21" s="154" t="s">
        <v>879</v>
      </c>
      <c r="K21" s="155"/>
      <c r="L21" s="7">
        <v>1</v>
      </c>
      <c r="M21" s="154"/>
      <c r="N21" s="155"/>
      <c r="O21" s="7"/>
      <c r="P21" s="154" t="s">
        <v>701</v>
      </c>
      <c r="Q21" s="155"/>
      <c r="R21" s="7">
        <v>1</v>
      </c>
    </row>
    <row r="22" spans="2:18" ht="18.75" customHeight="1">
      <c r="B22" s="150"/>
      <c r="C22" s="139"/>
      <c r="D22" s="269"/>
      <c r="E22" s="270"/>
      <c r="F22" s="122"/>
      <c r="G22" s="216"/>
      <c r="H22" s="163"/>
      <c r="I22" s="7"/>
      <c r="J22" s="154" t="s">
        <v>701</v>
      </c>
      <c r="K22" s="155"/>
      <c r="L22" s="7">
        <v>1.5</v>
      </c>
      <c r="M22" s="154" t="s">
        <v>701</v>
      </c>
      <c r="N22" s="155"/>
      <c r="O22" s="7">
        <v>1.5</v>
      </c>
      <c r="P22" s="154" t="s">
        <v>770</v>
      </c>
      <c r="Q22" s="155"/>
      <c r="R22" s="7">
        <v>0.5</v>
      </c>
    </row>
    <row r="23" spans="2:18" ht="18.75" customHeight="1">
      <c r="B23" s="150"/>
      <c r="C23" s="139"/>
      <c r="D23" s="269"/>
      <c r="E23" s="270"/>
      <c r="F23" s="122"/>
      <c r="G23" s="154"/>
      <c r="H23" s="155"/>
      <c r="I23" s="7"/>
      <c r="J23" s="154" t="s">
        <v>770</v>
      </c>
      <c r="K23" s="155"/>
      <c r="L23" s="7">
        <v>0.5</v>
      </c>
      <c r="M23" s="154" t="s">
        <v>770</v>
      </c>
      <c r="N23" s="155"/>
      <c r="O23" s="7">
        <v>0.5</v>
      </c>
      <c r="P23" s="154"/>
      <c r="Q23" s="155"/>
      <c r="R23" s="7"/>
    </row>
    <row r="24" spans="2:18" ht="19.5" customHeight="1" thickBot="1">
      <c r="B24" s="150"/>
      <c r="C24" s="140"/>
      <c r="D24" s="269"/>
      <c r="E24" s="270"/>
      <c r="F24" s="122"/>
      <c r="G24" s="161"/>
      <c r="H24" s="159"/>
      <c r="I24" s="9"/>
      <c r="J24" s="161" t="s">
        <v>110</v>
      </c>
      <c r="K24" s="159"/>
      <c r="L24" s="9"/>
      <c r="M24" s="161" t="s">
        <v>110</v>
      </c>
      <c r="N24" s="159"/>
      <c r="O24" s="9"/>
      <c r="P24" s="161" t="s">
        <v>110</v>
      </c>
      <c r="Q24" s="159"/>
      <c r="R24" s="9"/>
    </row>
    <row r="25" spans="2:18" ht="19.5" thickBot="1">
      <c r="B25" s="151"/>
      <c r="C25" s="18" t="s">
        <v>76</v>
      </c>
      <c r="D25" s="17"/>
      <c r="E25" s="17"/>
      <c r="F25" s="18">
        <f>SUM(F15:F24)</f>
        <v>0</v>
      </c>
      <c r="G25" s="17"/>
      <c r="H25" s="17"/>
      <c r="I25" s="18">
        <f>SUM(I15:I24)</f>
        <v>0</v>
      </c>
      <c r="J25" s="17"/>
      <c r="K25" s="17"/>
      <c r="L25" s="18">
        <f>SUM(L15:L24)</f>
        <v>7</v>
      </c>
      <c r="M25" s="17"/>
      <c r="N25" s="17"/>
      <c r="O25" s="18">
        <f>SUM(O15:O24)</f>
        <v>7</v>
      </c>
      <c r="P25" s="17"/>
      <c r="Q25" s="17"/>
      <c r="R25" s="18">
        <f>SUM(R15:R24)</f>
        <v>7</v>
      </c>
    </row>
  </sheetData>
  <mergeCells count="124"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  <mergeCell ref="Q2:Q3"/>
    <mergeCell ref="R2:R3"/>
    <mergeCell ref="B4:B14"/>
    <mergeCell ref="C4:C8"/>
    <mergeCell ref="D4:E4"/>
    <mergeCell ref="G4:H4"/>
    <mergeCell ref="J4:K4"/>
    <mergeCell ref="M4:N4"/>
    <mergeCell ref="P4:Q4"/>
    <mergeCell ref="D5:E5"/>
    <mergeCell ref="K2:K3"/>
    <mergeCell ref="L2:L3"/>
    <mergeCell ref="M2:M3"/>
    <mergeCell ref="N2:N3"/>
    <mergeCell ref="O2:O3"/>
    <mergeCell ref="P2:P3"/>
    <mergeCell ref="G5:H5"/>
    <mergeCell ref="J5:K5"/>
    <mergeCell ref="M5:N5"/>
    <mergeCell ref="P5:Q5"/>
    <mergeCell ref="D6:E6"/>
    <mergeCell ref="G6:H6"/>
    <mergeCell ref="J6:K6"/>
    <mergeCell ref="M6:N6"/>
    <mergeCell ref="P6:Q6"/>
    <mergeCell ref="D7:E7"/>
    <mergeCell ref="G7:H7"/>
    <mergeCell ref="J7:K7"/>
    <mergeCell ref="M7:N7"/>
    <mergeCell ref="P7:Q7"/>
    <mergeCell ref="D8:E8"/>
    <mergeCell ref="G8:H8"/>
    <mergeCell ref="J8:K8"/>
    <mergeCell ref="M8:N8"/>
    <mergeCell ref="P8:Q8"/>
    <mergeCell ref="P10:Q10"/>
    <mergeCell ref="D11:E11"/>
    <mergeCell ref="G11:H11"/>
    <mergeCell ref="J11:K11"/>
    <mergeCell ref="M11:N11"/>
    <mergeCell ref="P11:Q11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2:E12"/>
    <mergeCell ref="G12:H12"/>
    <mergeCell ref="J12:K12"/>
    <mergeCell ref="M12:N12"/>
    <mergeCell ref="P12:Q12"/>
    <mergeCell ref="D13:E13"/>
    <mergeCell ref="G13:H13"/>
    <mergeCell ref="J13:K13"/>
    <mergeCell ref="M13:N13"/>
    <mergeCell ref="P13:Q13"/>
    <mergeCell ref="P15:Q15"/>
    <mergeCell ref="D16:E16"/>
    <mergeCell ref="G16:H16"/>
    <mergeCell ref="J16:K16"/>
    <mergeCell ref="M16:N16"/>
    <mergeCell ref="P16:Q16"/>
    <mergeCell ref="B15:B25"/>
    <mergeCell ref="C15:C19"/>
    <mergeCell ref="D15:E15"/>
    <mergeCell ref="G15:H15"/>
    <mergeCell ref="J15:K15"/>
    <mergeCell ref="M15:N15"/>
    <mergeCell ref="D17:E17"/>
    <mergeCell ref="G17:H17"/>
    <mergeCell ref="J17:K17"/>
    <mergeCell ref="M17:N17"/>
    <mergeCell ref="C20:C24"/>
    <mergeCell ref="D20:E20"/>
    <mergeCell ref="G20:H20"/>
    <mergeCell ref="J20:K20"/>
    <mergeCell ref="M20:N20"/>
    <mergeCell ref="P17:Q17"/>
    <mergeCell ref="D18:E18"/>
    <mergeCell ref="G18:H18"/>
    <mergeCell ref="J18:K18"/>
    <mergeCell ref="M18:N18"/>
    <mergeCell ref="P18:Q18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D24:E24"/>
    <mergeCell ref="G24:H24"/>
    <mergeCell ref="J24:K24"/>
    <mergeCell ref="M24:N24"/>
    <mergeCell ref="P24:Q24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</mergeCells>
  <phoneticPr fontId="1"/>
  <pageMargins left="0.7" right="0.7" top="0.75" bottom="0.75" header="0.3" footer="0.3"/>
  <pageSetup paperSize="8" scale="67" orientation="landscape" horizontalDpi="1200" verticalDpi="120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F5BA7-AAAF-4028-8527-4943994E966C}">
  <sheetPr codeName="Sheet33"/>
  <dimension ref="B1:S25"/>
  <sheetViews>
    <sheetView view="pageBreakPreview" zoomScale="70" zoomScaleNormal="70" zoomScaleSheetLayoutView="70" workbookViewId="0">
      <selection activeCell="M32" sqref="M32"/>
    </sheetView>
  </sheetViews>
  <sheetFormatPr defaultRowHeight="18.75"/>
  <cols>
    <col min="1" max="1" width="2.5" customWidth="1"/>
    <col min="4" max="18" width="16" customWidth="1"/>
  </cols>
  <sheetData>
    <row r="1" spans="2:19" ht="24.75" thickBot="1">
      <c r="D1" s="53">
        <v>45768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19" s="5" customFormat="1">
      <c r="B2" s="201"/>
      <c r="C2" s="202"/>
      <c r="D2" s="205">
        <f>D1</f>
        <v>45768</v>
      </c>
      <c r="E2" s="195" t="s">
        <v>3</v>
      </c>
      <c r="F2" s="191" t="s">
        <v>4</v>
      </c>
      <c r="G2" s="197">
        <f>D2+1</f>
        <v>45769</v>
      </c>
      <c r="H2" s="195" t="s">
        <v>5</v>
      </c>
      <c r="I2" s="191" t="s">
        <v>4</v>
      </c>
      <c r="J2" s="197">
        <f>G2+1</f>
        <v>45770</v>
      </c>
      <c r="K2" s="195" t="s">
        <v>6</v>
      </c>
      <c r="L2" s="191" t="s">
        <v>4</v>
      </c>
      <c r="M2" s="197">
        <f>J2+1</f>
        <v>45771</v>
      </c>
      <c r="N2" s="195" t="s">
        <v>7</v>
      </c>
      <c r="O2" s="191" t="s">
        <v>4</v>
      </c>
      <c r="P2" s="197">
        <f>M2+1</f>
        <v>45772</v>
      </c>
      <c r="Q2" s="195" t="s">
        <v>8</v>
      </c>
      <c r="R2" s="191" t="s">
        <v>4</v>
      </c>
    </row>
    <row r="3" spans="2:19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19" ht="18.75" customHeight="1">
      <c r="B4" s="149" t="s">
        <v>32</v>
      </c>
      <c r="C4" s="138" t="s">
        <v>9</v>
      </c>
      <c r="D4" s="193" t="s">
        <v>810</v>
      </c>
      <c r="E4" s="194"/>
      <c r="F4" s="75">
        <v>0.5</v>
      </c>
      <c r="G4" s="193" t="s">
        <v>166</v>
      </c>
      <c r="H4" s="194"/>
      <c r="I4" s="75"/>
      <c r="J4" s="193" t="s">
        <v>166</v>
      </c>
      <c r="K4" s="194"/>
      <c r="L4" s="75"/>
      <c r="M4" s="193" t="s">
        <v>166</v>
      </c>
      <c r="N4" s="194"/>
      <c r="O4" s="75">
        <v>0.5</v>
      </c>
      <c r="P4" s="258" t="s">
        <v>166</v>
      </c>
      <c r="Q4" s="194"/>
      <c r="R4" s="75">
        <v>0.5</v>
      </c>
      <c r="S4" s="95"/>
    </row>
    <row r="5" spans="2:19">
      <c r="B5" s="150"/>
      <c r="C5" s="139"/>
      <c r="D5" s="183" t="s">
        <v>675</v>
      </c>
      <c r="E5" s="184"/>
      <c r="F5" s="32">
        <v>0.05</v>
      </c>
      <c r="G5" s="183" t="s">
        <v>676</v>
      </c>
      <c r="H5" s="184"/>
      <c r="I5" s="32"/>
      <c r="J5" s="183" t="s">
        <v>677</v>
      </c>
      <c r="K5" s="184"/>
      <c r="L5" s="32"/>
      <c r="M5" s="183" t="s">
        <v>678</v>
      </c>
      <c r="N5" s="184"/>
      <c r="O5" s="32">
        <v>0.05</v>
      </c>
      <c r="P5" s="183" t="s">
        <v>679</v>
      </c>
      <c r="Q5" s="184"/>
      <c r="R5" s="32">
        <v>0.05</v>
      </c>
      <c r="S5" s="95"/>
    </row>
    <row r="6" spans="2:19">
      <c r="B6" s="150"/>
      <c r="C6" s="139"/>
      <c r="D6" s="183" t="s">
        <v>847</v>
      </c>
      <c r="E6" s="184"/>
      <c r="F6" s="113">
        <v>0.25</v>
      </c>
      <c r="G6" s="188" t="s">
        <v>864</v>
      </c>
      <c r="H6" s="148"/>
      <c r="I6" s="111">
        <v>3</v>
      </c>
      <c r="J6" s="188" t="s">
        <v>864</v>
      </c>
      <c r="K6" s="148"/>
      <c r="L6" s="111">
        <v>3</v>
      </c>
      <c r="M6" s="183" t="s">
        <v>750</v>
      </c>
      <c r="N6" s="184"/>
      <c r="O6" s="32">
        <v>1</v>
      </c>
      <c r="P6" s="183" t="s">
        <v>865</v>
      </c>
      <c r="Q6" s="184"/>
      <c r="R6" s="32">
        <v>1.5</v>
      </c>
      <c r="S6" s="95"/>
    </row>
    <row r="7" spans="2:19">
      <c r="B7" s="150"/>
      <c r="C7" s="139"/>
      <c r="D7" s="188" t="s">
        <v>866</v>
      </c>
      <c r="E7" s="148"/>
      <c r="F7" s="111">
        <v>2.95</v>
      </c>
      <c r="G7" s="188"/>
      <c r="H7" s="148"/>
      <c r="I7" s="111"/>
      <c r="J7" s="188"/>
      <c r="K7" s="148"/>
      <c r="L7" s="111"/>
      <c r="M7" s="188" t="s">
        <v>867</v>
      </c>
      <c r="N7" s="148"/>
      <c r="O7" s="111">
        <v>1.75</v>
      </c>
      <c r="P7" s="147" t="s">
        <v>814</v>
      </c>
      <c r="Q7" s="148"/>
      <c r="R7" s="111">
        <v>0</v>
      </c>
      <c r="S7" s="8"/>
    </row>
    <row r="8" spans="2:19" ht="19.5" thickBot="1">
      <c r="B8" s="150"/>
      <c r="C8" s="140"/>
      <c r="D8" s="189"/>
      <c r="E8" s="190"/>
      <c r="F8" s="112"/>
      <c r="G8" s="259"/>
      <c r="H8" s="190"/>
      <c r="I8" s="120"/>
      <c r="J8" s="259"/>
      <c r="K8" s="190"/>
      <c r="L8" s="120"/>
      <c r="M8" s="259"/>
      <c r="N8" s="190"/>
      <c r="O8" s="120"/>
      <c r="P8" s="259"/>
      <c r="Q8" s="190"/>
      <c r="R8" s="120"/>
      <c r="S8" s="96"/>
    </row>
    <row r="9" spans="2:19" ht="18.75" customHeight="1">
      <c r="B9" s="150"/>
      <c r="C9" s="138" t="s">
        <v>20</v>
      </c>
      <c r="D9" s="181" t="s">
        <v>868</v>
      </c>
      <c r="E9" s="182"/>
      <c r="F9" s="111">
        <v>2</v>
      </c>
      <c r="G9" s="181" t="s">
        <v>869</v>
      </c>
      <c r="H9" s="182"/>
      <c r="I9" s="111">
        <v>4.25</v>
      </c>
      <c r="J9" s="181" t="s">
        <v>869</v>
      </c>
      <c r="K9" s="182"/>
      <c r="L9" s="111">
        <v>3.75</v>
      </c>
      <c r="M9" s="181" t="s">
        <v>870</v>
      </c>
      <c r="N9" s="182"/>
      <c r="O9" s="111">
        <v>1.7</v>
      </c>
      <c r="P9" s="183" t="s">
        <v>867</v>
      </c>
      <c r="Q9" s="184"/>
      <c r="R9" s="111">
        <v>1.7</v>
      </c>
      <c r="S9" s="11"/>
    </row>
    <row r="10" spans="2:19" ht="18.75" customHeight="1">
      <c r="B10" s="150"/>
      <c r="C10" s="139"/>
      <c r="D10" s="147"/>
      <c r="E10" s="148"/>
      <c r="F10" s="111"/>
      <c r="G10" s="147"/>
      <c r="H10" s="148"/>
      <c r="I10" s="111"/>
      <c r="J10" s="147"/>
      <c r="K10" s="148"/>
      <c r="L10" s="111"/>
      <c r="M10" s="147" t="s">
        <v>871</v>
      </c>
      <c r="N10" s="148"/>
      <c r="O10" s="111">
        <v>0.25</v>
      </c>
      <c r="P10" s="147" t="s">
        <v>872</v>
      </c>
      <c r="Q10" s="148"/>
      <c r="R10" s="111">
        <v>2</v>
      </c>
      <c r="S10" s="11"/>
    </row>
    <row r="11" spans="2:19" ht="18.75" customHeight="1">
      <c r="B11" s="150"/>
      <c r="C11" s="139"/>
      <c r="D11" s="183"/>
      <c r="E11" s="184"/>
      <c r="F11" s="111"/>
      <c r="G11" s="147"/>
      <c r="H11" s="148"/>
      <c r="I11" s="111"/>
      <c r="J11" s="147"/>
      <c r="K11" s="148"/>
      <c r="L11" s="111"/>
      <c r="M11" s="277" t="s">
        <v>682</v>
      </c>
      <c r="N11" s="278"/>
      <c r="O11" s="111">
        <v>0.5</v>
      </c>
      <c r="P11" s="147"/>
      <c r="Q11" s="148"/>
      <c r="R11" s="111"/>
      <c r="S11" s="96"/>
    </row>
    <row r="12" spans="2:19" ht="18.75" customHeight="1">
      <c r="B12" s="150"/>
      <c r="C12" s="139"/>
      <c r="D12" s="183" t="s">
        <v>848</v>
      </c>
      <c r="E12" s="184"/>
      <c r="F12" s="111">
        <v>1</v>
      </c>
      <c r="G12" s="147"/>
      <c r="H12" s="148"/>
      <c r="I12" s="111"/>
      <c r="J12" s="147"/>
      <c r="K12" s="148"/>
      <c r="L12" s="111"/>
      <c r="M12" s="183" t="s">
        <v>848</v>
      </c>
      <c r="N12" s="184"/>
      <c r="O12" s="111">
        <v>1</v>
      </c>
      <c r="P12" s="183" t="s">
        <v>848</v>
      </c>
      <c r="Q12" s="184"/>
      <c r="R12" s="111">
        <v>1</v>
      </c>
      <c r="S12" s="96"/>
    </row>
    <row r="13" spans="2:19" ht="19.5" customHeight="1" thickBot="1">
      <c r="B13" s="150"/>
      <c r="C13" s="140"/>
      <c r="D13" s="178" t="s">
        <v>849</v>
      </c>
      <c r="E13" s="179"/>
      <c r="F13" s="59">
        <v>1</v>
      </c>
      <c r="G13" s="178" t="s">
        <v>849</v>
      </c>
      <c r="H13" s="179"/>
      <c r="I13" s="59">
        <v>0.5</v>
      </c>
      <c r="J13" s="178" t="s">
        <v>849</v>
      </c>
      <c r="K13" s="179"/>
      <c r="L13" s="59">
        <v>1</v>
      </c>
      <c r="M13" s="178" t="s">
        <v>849</v>
      </c>
      <c r="N13" s="179"/>
      <c r="O13" s="59">
        <v>1</v>
      </c>
      <c r="P13" s="178" t="s">
        <v>849</v>
      </c>
      <c r="Q13" s="179"/>
      <c r="R13" s="59">
        <v>1</v>
      </c>
    </row>
    <row r="14" spans="2:19" ht="19.5" thickBot="1">
      <c r="B14" s="151"/>
      <c r="C14" s="18" t="s">
        <v>76</v>
      </c>
      <c r="D14" s="17"/>
      <c r="E14" s="17"/>
      <c r="F14" s="18">
        <f>SUM(F4:F13)</f>
        <v>7.75</v>
      </c>
      <c r="G14" s="17"/>
      <c r="H14" s="17"/>
      <c r="I14" s="18">
        <f>SUM(I4:I13)</f>
        <v>7.75</v>
      </c>
      <c r="J14" s="17"/>
      <c r="K14" s="17"/>
      <c r="L14" s="18">
        <f>SUM(L4:L13)</f>
        <v>7.75</v>
      </c>
      <c r="M14" s="17"/>
      <c r="N14" s="17"/>
      <c r="O14" s="18">
        <f>SUM(O4:O13)</f>
        <v>7.75</v>
      </c>
      <c r="P14" s="17"/>
      <c r="Q14" s="17"/>
      <c r="R14" s="18">
        <f>SUM(R4:R13)</f>
        <v>7.75</v>
      </c>
    </row>
    <row r="15" spans="2:19" ht="18.75" customHeight="1">
      <c r="B15" s="149" t="s">
        <v>65</v>
      </c>
      <c r="C15" s="138" t="s">
        <v>9</v>
      </c>
      <c r="D15" s="152" t="s">
        <v>772</v>
      </c>
      <c r="E15" s="153"/>
      <c r="F15" s="6">
        <v>0.5</v>
      </c>
      <c r="G15" s="216"/>
      <c r="H15" s="163"/>
      <c r="I15" s="6"/>
      <c r="J15" s="154"/>
      <c r="K15" s="155"/>
      <c r="L15" s="6"/>
      <c r="M15" s="154" t="s">
        <v>852</v>
      </c>
      <c r="N15" s="155"/>
      <c r="O15" s="6">
        <v>2</v>
      </c>
      <c r="P15" s="156" t="s">
        <v>671</v>
      </c>
      <c r="Q15" s="153"/>
      <c r="R15" s="6">
        <v>0.25</v>
      </c>
    </row>
    <row r="16" spans="2:19" ht="18.75" customHeight="1">
      <c r="B16" s="150"/>
      <c r="C16" s="139"/>
      <c r="D16" s="157" t="s">
        <v>697</v>
      </c>
      <c r="E16" s="155"/>
      <c r="F16" s="7">
        <v>1.5</v>
      </c>
      <c r="G16" s="154" t="s">
        <v>853</v>
      </c>
      <c r="H16" s="155"/>
      <c r="I16" s="7">
        <v>3</v>
      </c>
      <c r="J16" s="154" t="s">
        <v>854</v>
      </c>
      <c r="K16" s="155"/>
      <c r="L16" s="7">
        <v>3</v>
      </c>
      <c r="M16" s="154" t="s">
        <v>855</v>
      </c>
      <c r="N16" s="155"/>
      <c r="O16" s="7">
        <v>1.25</v>
      </c>
      <c r="P16" s="154" t="s">
        <v>856</v>
      </c>
      <c r="Q16" s="155"/>
      <c r="R16" s="7">
        <v>3</v>
      </c>
    </row>
    <row r="17" spans="2:18" ht="18.75" customHeight="1">
      <c r="B17" s="150"/>
      <c r="C17" s="139"/>
      <c r="D17" s="157" t="s">
        <v>852</v>
      </c>
      <c r="E17" s="155"/>
      <c r="F17" s="7">
        <v>0.5</v>
      </c>
      <c r="G17" s="216"/>
      <c r="H17" s="163"/>
      <c r="I17" s="7"/>
      <c r="J17" s="154"/>
      <c r="K17" s="155"/>
      <c r="L17" s="7"/>
      <c r="M17" s="154"/>
      <c r="N17" s="155"/>
      <c r="O17" s="7"/>
      <c r="P17" s="154"/>
      <c r="Q17" s="155"/>
      <c r="R17" s="7"/>
    </row>
    <row r="18" spans="2:18" ht="18.75" customHeight="1">
      <c r="B18" s="150"/>
      <c r="C18" s="139"/>
      <c r="D18" s="221"/>
      <c r="E18" s="222"/>
      <c r="F18" s="7"/>
      <c r="G18" s="154"/>
      <c r="H18" s="155"/>
      <c r="I18" s="12"/>
      <c r="J18" s="154"/>
      <c r="K18" s="155"/>
      <c r="L18" s="12"/>
      <c r="M18" s="154"/>
      <c r="N18" s="155"/>
      <c r="O18" s="12"/>
      <c r="P18" s="154"/>
      <c r="Q18" s="155"/>
      <c r="R18" s="12"/>
    </row>
    <row r="19" spans="2:18" ht="19.5" customHeight="1" thickBot="1">
      <c r="B19" s="150"/>
      <c r="C19" s="140"/>
      <c r="D19" s="158"/>
      <c r="E19" s="159"/>
      <c r="F19" s="9"/>
      <c r="G19" s="161"/>
      <c r="H19" s="159"/>
      <c r="I19" s="9"/>
      <c r="J19" s="161"/>
      <c r="K19" s="159"/>
      <c r="L19" s="9"/>
      <c r="M19" s="161"/>
      <c r="N19" s="159"/>
      <c r="O19" s="9"/>
      <c r="P19" s="161"/>
      <c r="Q19" s="159"/>
      <c r="R19" s="9"/>
    </row>
    <row r="20" spans="2:18" ht="18.75" customHeight="1">
      <c r="B20" s="150"/>
      <c r="C20" s="138" t="s">
        <v>20</v>
      </c>
      <c r="D20" s="152" t="s">
        <v>857</v>
      </c>
      <c r="E20" s="153"/>
      <c r="F20" s="6">
        <v>1.25</v>
      </c>
      <c r="G20" s="154"/>
      <c r="H20" s="155"/>
      <c r="I20" s="7"/>
      <c r="J20" s="154" t="s">
        <v>858</v>
      </c>
      <c r="K20" s="155"/>
      <c r="L20" s="7">
        <v>1</v>
      </c>
      <c r="M20" s="154" t="s">
        <v>703</v>
      </c>
      <c r="N20" s="155"/>
      <c r="O20" s="7">
        <v>0.5</v>
      </c>
      <c r="P20" s="154" t="s">
        <v>859</v>
      </c>
      <c r="Q20" s="155"/>
      <c r="R20" s="7">
        <v>1</v>
      </c>
    </row>
    <row r="21" spans="2:18" ht="18.75" customHeight="1">
      <c r="B21" s="150"/>
      <c r="C21" s="139"/>
      <c r="D21" s="157" t="s">
        <v>860</v>
      </c>
      <c r="E21" s="155"/>
      <c r="F21" s="7">
        <v>1</v>
      </c>
      <c r="G21" s="216" t="s">
        <v>861</v>
      </c>
      <c r="H21" s="163"/>
      <c r="I21" s="7">
        <v>1</v>
      </c>
      <c r="J21" s="154" t="s">
        <v>852</v>
      </c>
      <c r="K21" s="155"/>
      <c r="L21" s="7">
        <v>1</v>
      </c>
      <c r="M21" s="154" t="s">
        <v>862</v>
      </c>
      <c r="N21" s="155"/>
      <c r="O21" s="7">
        <v>1</v>
      </c>
      <c r="P21" s="154" t="s">
        <v>852</v>
      </c>
      <c r="Q21" s="155"/>
      <c r="R21" s="7">
        <v>0.75</v>
      </c>
    </row>
    <row r="22" spans="2:18" ht="18.75" customHeight="1">
      <c r="B22" s="150"/>
      <c r="C22" s="139"/>
      <c r="D22" s="157" t="s">
        <v>839</v>
      </c>
      <c r="E22" s="155"/>
      <c r="F22" s="7">
        <v>1.5</v>
      </c>
      <c r="G22" s="216" t="s">
        <v>839</v>
      </c>
      <c r="H22" s="163"/>
      <c r="I22" s="7">
        <v>2</v>
      </c>
      <c r="J22" s="154" t="s">
        <v>839</v>
      </c>
      <c r="K22" s="155"/>
      <c r="L22" s="7">
        <v>1.5</v>
      </c>
      <c r="M22" s="154" t="s">
        <v>839</v>
      </c>
      <c r="N22" s="155"/>
      <c r="O22" s="7">
        <v>1.5</v>
      </c>
      <c r="P22" s="154" t="s">
        <v>839</v>
      </c>
      <c r="Q22" s="155"/>
      <c r="R22" s="7">
        <v>1.5</v>
      </c>
    </row>
    <row r="23" spans="2:18" ht="18.75" customHeight="1">
      <c r="B23" s="150"/>
      <c r="C23" s="139"/>
      <c r="D23" s="157" t="s">
        <v>863</v>
      </c>
      <c r="E23" s="155"/>
      <c r="F23" s="7">
        <v>0.75</v>
      </c>
      <c r="G23" s="154" t="s">
        <v>863</v>
      </c>
      <c r="H23" s="155"/>
      <c r="I23" s="7">
        <v>1</v>
      </c>
      <c r="J23" s="154" t="s">
        <v>863</v>
      </c>
      <c r="K23" s="155"/>
      <c r="L23" s="7">
        <v>0.5</v>
      </c>
      <c r="M23" s="154" t="s">
        <v>863</v>
      </c>
      <c r="N23" s="155"/>
      <c r="O23" s="7">
        <v>0.75</v>
      </c>
      <c r="P23" s="154" t="s">
        <v>863</v>
      </c>
      <c r="Q23" s="155"/>
      <c r="R23" s="7">
        <v>0.5</v>
      </c>
    </row>
    <row r="24" spans="2:18" ht="19.5" customHeight="1" thickBot="1">
      <c r="B24" s="150"/>
      <c r="C24" s="140"/>
      <c r="D24" s="157" t="s">
        <v>110</v>
      </c>
      <c r="E24" s="155"/>
      <c r="F24" s="7"/>
      <c r="G24" s="161" t="s">
        <v>110</v>
      </c>
      <c r="H24" s="159"/>
      <c r="I24" s="9"/>
      <c r="J24" s="161" t="s">
        <v>110</v>
      </c>
      <c r="K24" s="159"/>
      <c r="L24" s="9"/>
      <c r="M24" s="161" t="s">
        <v>110</v>
      </c>
      <c r="N24" s="159"/>
      <c r="O24" s="9"/>
      <c r="P24" s="161" t="s">
        <v>110</v>
      </c>
      <c r="Q24" s="159"/>
      <c r="R24" s="9"/>
    </row>
    <row r="25" spans="2:18" ht="19.5" thickBot="1">
      <c r="B25" s="151"/>
      <c r="C25" s="18" t="s">
        <v>76</v>
      </c>
      <c r="D25" s="17"/>
      <c r="E25" s="17"/>
      <c r="F25" s="18">
        <f>SUM(F15:F24)</f>
        <v>7</v>
      </c>
      <c r="G25" s="17"/>
      <c r="H25" s="17"/>
      <c r="I25" s="18">
        <f>SUM(I15:I24)</f>
        <v>7</v>
      </c>
      <c r="J25" s="17"/>
      <c r="K25" s="17"/>
      <c r="L25" s="18">
        <f>SUM(L15:L24)</f>
        <v>7</v>
      </c>
      <c r="M25" s="17"/>
      <c r="N25" s="17"/>
      <c r="O25" s="18">
        <f>SUM(O15:O24)</f>
        <v>7</v>
      </c>
      <c r="P25" s="17"/>
      <c r="Q25" s="17"/>
      <c r="R25" s="18">
        <f>SUM(R15:R24)</f>
        <v>7</v>
      </c>
    </row>
  </sheetData>
  <mergeCells count="124"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  <mergeCell ref="Q2:Q3"/>
    <mergeCell ref="R2:R3"/>
    <mergeCell ref="B4:B14"/>
    <mergeCell ref="C4:C8"/>
    <mergeCell ref="D4:E4"/>
    <mergeCell ref="G4:H4"/>
    <mergeCell ref="J4:K4"/>
    <mergeCell ref="M4:N4"/>
    <mergeCell ref="P4:Q4"/>
    <mergeCell ref="D5:E5"/>
    <mergeCell ref="K2:K3"/>
    <mergeCell ref="L2:L3"/>
    <mergeCell ref="M2:M3"/>
    <mergeCell ref="N2:N3"/>
    <mergeCell ref="O2:O3"/>
    <mergeCell ref="P2:P3"/>
    <mergeCell ref="G5:H5"/>
    <mergeCell ref="J5:K5"/>
    <mergeCell ref="M5:N5"/>
    <mergeCell ref="P5:Q5"/>
    <mergeCell ref="D6:E6"/>
    <mergeCell ref="G6:H6"/>
    <mergeCell ref="J6:K6"/>
    <mergeCell ref="M6:N6"/>
    <mergeCell ref="P6:Q6"/>
    <mergeCell ref="D7:E7"/>
    <mergeCell ref="G7:H7"/>
    <mergeCell ref="J7:K7"/>
    <mergeCell ref="M7:N7"/>
    <mergeCell ref="P7:Q7"/>
    <mergeCell ref="D8:E8"/>
    <mergeCell ref="G8:H8"/>
    <mergeCell ref="J8:K8"/>
    <mergeCell ref="M8:N8"/>
    <mergeCell ref="P8:Q8"/>
    <mergeCell ref="P10:Q10"/>
    <mergeCell ref="D11:E11"/>
    <mergeCell ref="G11:H11"/>
    <mergeCell ref="J11:K11"/>
    <mergeCell ref="M11:N11"/>
    <mergeCell ref="P11:Q11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2:E12"/>
    <mergeCell ref="G12:H12"/>
    <mergeCell ref="J12:K12"/>
    <mergeCell ref="M12:N12"/>
    <mergeCell ref="P12:Q12"/>
    <mergeCell ref="D13:E13"/>
    <mergeCell ref="G13:H13"/>
    <mergeCell ref="J13:K13"/>
    <mergeCell ref="M13:N13"/>
    <mergeCell ref="P13:Q13"/>
    <mergeCell ref="P15:Q15"/>
    <mergeCell ref="D16:E16"/>
    <mergeCell ref="G16:H16"/>
    <mergeCell ref="J16:K16"/>
    <mergeCell ref="M16:N16"/>
    <mergeCell ref="P16:Q16"/>
    <mergeCell ref="B15:B25"/>
    <mergeCell ref="C15:C19"/>
    <mergeCell ref="D15:E15"/>
    <mergeCell ref="G15:H15"/>
    <mergeCell ref="J15:K15"/>
    <mergeCell ref="M15:N15"/>
    <mergeCell ref="D17:E17"/>
    <mergeCell ref="G17:H17"/>
    <mergeCell ref="J17:K17"/>
    <mergeCell ref="M17:N17"/>
    <mergeCell ref="C20:C24"/>
    <mergeCell ref="D20:E20"/>
    <mergeCell ref="G20:H20"/>
    <mergeCell ref="J20:K20"/>
    <mergeCell ref="M20:N20"/>
    <mergeCell ref="P17:Q17"/>
    <mergeCell ref="D18:E18"/>
    <mergeCell ref="G18:H18"/>
    <mergeCell ref="J18:K18"/>
    <mergeCell ref="M18:N18"/>
    <mergeCell ref="P18:Q18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D24:E24"/>
    <mergeCell ref="G24:H24"/>
    <mergeCell ref="J24:K24"/>
    <mergeCell ref="M24:N24"/>
    <mergeCell ref="P24:Q24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</mergeCells>
  <phoneticPr fontId="1"/>
  <pageMargins left="0.7" right="0.7" top="0.75" bottom="0.75" header="0.3" footer="0.3"/>
  <pageSetup paperSize="8" scale="67" orientation="landscape" horizontalDpi="1200" verticalDpi="120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8AC44-4760-444D-8E6E-7DE511440B4E}">
  <sheetPr codeName="Sheet34"/>
  <dimension ref="B1:S25"/>
  <sheetViews>
    <sheetView view="pageBreakPreview" zoomScale="85" zoomScaleNormal="70" zoomScaleSheetLayoutView="85" workbookViewId="0">
      <selection activeCell="M32" sqref="M32"/>
    </sheetView>
  </sheetViews>
  <sheetFormatPr defaultRowHeight="18.75"/>
  <cols>
    <col min="1" max="1" width="2.5" customWidth="1"/>
    <col min="4" max="18" width="16" customWidth="1"/>
  </cols>
  <sheetData>
    <row r="1" spans="2:19" ht="24.75" thickBot="1">
      <c r="D1" s="53">
        <v>45761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19" s="5" customFormat="1">
      <c r="B2" s="201"/>
      <c r="C2" s="202"/>
      <c r="D2" s="205">
        <f>D1</f>
        <v>45761</v>
      </c>
      <c r="E2" s="195" t="s">
        <v>3</v>
      </c>
      <c r="F2" s="191" t="s">
        <v>4</v>
      </c>
      <c r="G2" s="197">
        <f>D2+1</f>
        <v>45762</v>
      </c>
      <c r="H2" s="195" t="s">
        <v>5</v>
      </c>
      <c r="I2" s="191" t="s">
        <v>4</v>
      </c>
      <c r="J2" s="197">
        <f>G2+1</f>
        <v>45763</v>
      </c>
      <c r="K2" s="195" t="s">
        <v>6</v>
      </c>
      <c r="L2" s="191" t="s">
        <v>4</v>
      </c>
      <c r="M2" s="197">
        <f>J2+1</f>
        <v>45764</v>
      </c>
      <c r="N2" s="195" t="s">
        <v>7</v>
      </c>
      <c r="O2" s="191" t="s">
        <v>4</v>
      </c>
      <c r="P2" s="197">
        <f>M2+1</f>
        <v>45765</v>
      </c>
      <c r="Q2" s="195" t="s">
        <v>8</v>
      </c>
      <c r="R2" s="191" t="s">
        <v>4</v>
      </c>
    </row>
    <row r="3" spans="2:19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19" ht="18.75" customHeight="1">
      <c r="B4" s="149" t="s">
        <v>32</v>
      </c>
      <c r="C4" s="138" t="s">
        <v>9</v>
      </c>
      <c r="D4" s="156" t="s">
        <v>810</v>
      </c>
      <c r="E4" s="153"/>
      <c r="F4" s="6">
        <v>0.95</v>
      </c>
      <c r="G4" s="156"/>
      <c r="H4" s="153"/>
      <c r="I4" s="6"/>
      <c r="J4" s="156" t="s">
        <v>166</v>
      </c>
      <c r="K4" s="153"/>
      <c r="L4" s="6">
        <v>0.95</v>
      </c>
      <c r="M4" s="156" t="s">
        <v>166</v>
      </c>
      <c r="N4" s="153"/>
      <c r="O4" s="6">
        <v>0.95</v>
      </c>
      <c r="P4" s="264" t="s">
        <v>166</v>
      </c>
      <c r="Q4" s="153"/>
      <c r="R4" s="6">
        <v>0.95</v>
      </c>
      <c r="S4" s="95"/>
    </row>
    <row r="5" spans="2:19">
      <c r="B5" s="150"/>
      <c r="C5" s="139"/>
      <c r="D5" s="154" t="s">
        <v>675</v>
      </c>
      <c r="E5" s="155"/>
      <c r="F5" s="7">
        <v>0.05</v>
      </c>
      <c r="G5" s="154"/>
      <c r="H5" s="155"/>
      <c r="I5" s="7"/>
      <c r="J5" s="154" t="s">
        <v>677</v>
      </c>
      <c r="K5" s="155"/>
      <c r="L5" s="7">
        <v>0.05</v>
      </c>
      <c r="M5" s="154" t="s">
        <v>678</v>
      </c>
      <c r="N5" s="155"/>
      <c r="O5" s="7">
        <v>0.05</v>
      </c>
      <c r="P5" s="154" t="s">
        <v>679</v>
      </c>
      <c r="Q5" s="155"/>
      <c r="R5" s="7">
        <v>0.05</v>
      </c>
      <c r="S5" s="95"/>
    </row>
    <row r="6" spans="2:19">
      <c r="B6" s="150"/>
      <c r="C6" s="139"/>
      <c r="D6" s="154" t="s">
        <v>840</v>
      </c>
      <c r="E6" s="155"/>
      <c r="F6" s="116">
        <v>2</v>
      </c>
      <c r="G6" s="282"/>
      <c r="H6" s="256"/>
      <c r="I6" s="116"/>
      <c r="J6" s="154" t="s">
        <v>840</v>
      </c>
      <c r="K6" s="155"/>
      <c r="L6" s="116">
        <v>2</v>
      </c>
      <c r="M6" s="154" t="s">
        <v>750</v>
      </c>
      <c r="N6" s="155"/>
      <c r="O6" s="7">
        <v>1</v>
      </c>
      <c r="P6" s="154" t="s">
        <v>682</v>
      </c>
      <c r="Q6" s="155"/>
      <c r="R6" s="7">
        <v>0</v>
      </c>
      <c r="S6" s="95"/>
    </row>
    <row r="7" spans="2:19">
      <c r="B7" s="150"/>
      <c r="C7" s="139"/>
      <c r="D7" s="166"/>
      <c r="E7" s="142"/>
      <c r="F7" s="116"/>
      <c r="G7" s="141"/>
      <c r="H7" s="142"/>
      <c r="I7" s="116"/>
      <c r="J7" s="141"/>
      <c r="K7" s="142"/>
      <c r="L7" s="116"/>
      <c r="M7" s="141" t="s">
        <v>841</v>
      </c>
      <c r="N7" s="142"/>
      <c r="O7" s="116">
        <v>2</v>
      </c>
      <c r="P7" s="141" t="s">
        <v>814</v>
      </c>
      <c r="Q7" s="142"/>
      <c r="R7" s="116">
        <v>1</v>
      </c>
      <c r="S7" s="8"/>
    </row>
    <row r="8" spans="2:19" ht="19.5" thickBot="1">
      <c r="B8" s="150"/>
      <c r="C8" s="140"/>
      <c r="D8" s="172"/>
      <c r="E8" s="173"/>
      <c r="F8" s="118"/>
      <c r="G8" s="263"/>
      <c r="H8" s="173"/>
      <c r="I8" s="119"/>
      <c r="J8" s="263"/>
      <c r="K8" s="173"/>
      <c r="L8" s="119"/>
      <c r="M8" s="263"/>
      <c r="N8" s="173"/>
      <c r="O8" s="119"/>
      <c r="P8" s="263"/>
      <c r="Q8" s="173"/>
      <c r="R8" s="119"/>
      <c r="S8" s="96"/>
    </row>
    <row r="9" spans="2:19" ht="18.75" customHeight="1">
      <c r="B9" s="150"/>
      <c r="C9" s="138" t="s">
        <v>20</v>
      </c>
      <c r="D9" s="238" t="s">
        <v>842</v>
      </c>
      <c r="E9" s="165"/>
      <c r="F9" s="116">
        <v>2.5</v>
      </c>
      <c r="G9" s="238" t="s">
        <v>842</v>
      </c>
      <c r="H9" s="165"/>
      <c r="I9" s="116">
        <v>1</v>
      </c>
      <c r="J9" s="238" t="s">
        <v>843</v>
      </c>
      <c r="K9" s="165"/>
      <c r="L9" s="116">
        <v>1.75</v>
      </c>
      <c r="M9" s="267" t="s">
        <v>682</v>
      </c>
      <c r="N9" s="268"/>
      <c r="O9" s="116">
        <v>0</v>
      </c>
      <c r="P9" s="154" t="s">
        <v>840</v>
      </c>
      <c r="Q9" s="155"/>
      <c r="R9" s="116">
        <v>3.75</v>
      </c>
      <c r="S9" s="11"/>
    </row>
    <row r="10" spans="2:19" ht="18.75" customHeight="1">
      <c r="B10" s="150"/>
      <c r="C10" s="139"/>
      <c r="D10" s="141"/>
      <c r="E10" s="142"/>
      <c r="F10" s="116"/>
      <c r="G10" s="141" t="s">
        <v>844</v>
      </c>
      <c r="H10" s="142"/>
      <c r="I10" s="116">
        <v>2</v>
      </c>
      <c r="J10" s="141" t="s">
        <v>845</v>
      </c>
      <c r="K10" s="142"/>
      <c r="L10" s="116">
        <v>1</v>
      </c>
      <c r="M10" s="141" t="s">
        <v>846</v>
      </c>
      <c r="N10" s="142"/>
      <c r="O10" s="116">
        <v>1.75</v>
      </c>
      <c r="P10" s="141"/>
      <c r="Q10" s="142"/>
      <c r="R10" s="116"/>
      <c r="S10" s="11"/>
    </row>
    <row r="11" spans="2:19" ht="18.75" customHeight="1">
      <c r="B11" s="150"/>
      <c r="C11" s="139"/>
      <c r="D11" s="154"/>
      <c r="E11" s="155"/>
      <c r="F11" s="116"/>
      <c r="G11" s="154" t="s">
        <v>847</v>
      </c>
      <c r="H11" s="155"/>
      <c r="I11" s="117">
        <v>0.25</v>
      </c>
      <c r="J11" s="141"/>
      <c r="K11" s="142"/>
      <c r="L11" s="116"/>
      <c r="M11" s="154"/>
      <c r="N11" s="155"/>
      <c r="O11" s="116"/>
      <c r="P11" s="141"/>
      <c r="Q11" s="142"/>
      <c r="R11" s="116"/>
      <c r="S11" s="96"/>
    </row>
    <row r="12" spans="2:19" ht="18.75" customHeight="1">
      <c r="B12" s="150"/>
      <c r="C12" s="139"/>
      <c r="D12" s="154" t="s">
        <v>848</v>
      </c>
      <c r="E12" s="155"/>
      <c r="F12" s="116">
        <v>1.25</v>
      </c>
      <c r="G12" s="154" t="s">
        <v>848</v>
      </c>
      <c r="H12" s="155"/>
      <c r="I12" s="116">
        <v>0.5</v>
      </c>
      <c r="J12" s="154" t="s">
        <v>848</v>
      </c>
      <c r="K12" s="155"/>
      <c r="L12" s="116">
        <v>1</v>
      </c>
      <c r="M12" s="154" t="s">
        <v>848</v>
      </c>
      <c r="N12" s="155"/>
      <c r="O12" s="116">
        <v>1</v>
      </c>
      <c r="P12" s="154" t="s">
        <v>848</v>
      </c>
      <c r="Q12" s="155"/>
      <c r="R12" s="116">
        <v>1</v>
      </c>
      <c r="S12" s="96"/>
    </row>
    <row r="13" spans="2:19" ht="19.5" customHeight="1" thickBot="1">
      <c r="B13" s="150"/>
      <c r="C13" s="140"/>
      <c r="D13" s="160" t="s">
        <v>849</v>
      </c>
      <c r="E13" s="159"/>
      <c r="F13" s="9">
        <v>1</v>
      </c>
      <c r="G13" s="160" t="s">
        <v>849</v>
      </c>
      <c r="H13" s="159"/>
      <c r="I13" s="9">
        <v>1</v>
      </c>
      <c r="J13" s="160" t="s">
        <v>849</v>
      </c>
      <c r="K13" s="159"/>
      <c r="L13" s="9">
        <v>1</v>
      </c>
      <c r="M13" s="160" t="s">
        <v>849</v>
      </c>
      <c r="N13" s="159"/>
      <c r="O13" s="9">
        <v>1</v>
      </c>
      <c r="P13" s="160" t="s">
        <v>849</v>
      </c>
      <c r="Q13" s="159"/>
      <c r="R13" s="9">
        <v>1</v>
      </c>
    </row>
    <row r="14" spans="2:19" ht="19.5" thickBot="1">
      <c r="B14" s="151"/>
      <c r="C14" s="18" t="s">
        <v>76</v>
      </c>
      <c r="D14" s="17"/>
      <c r="E14" s="17"/>
      <c r="F14" s="18">
        <f>SUM(F4:F13)</f>
        <v>7.75</v>
      </c>
      <c r="G14" s="17"/>
      <c r="H14" s="17"/>
      <c r="I14" s="18">
        <f>SUM(I4:I13)</f>
        <v>4.75</v>
      </c>
      <c r="J14" s="17"/>
      <c r="K14" s="17"/>
      <c r="L14" s="18">
        <f>SUM(L4:L13)</f>
        <v>7.75</v>
      </c>
      <c r="M14" s="17"/>
      <c r="N14" s="17"/>
      <c r="O14" s="18">
        <f>SUM(O4:O13)</f>
        <v>7.75</v>
      </c>
      <c r="P14" s="17"/>
      <c r="Q14" s="17"/>
      <c r="R14" s="18">
        <f>SUM(R4:R13)</f>
        <v>7.75</v>
      </c>
    </row>
    <row r="15" spans="2:19" ht="18.75" customHeight="1">
      <c r="B15" s="149" t="s">
        <v>65</v>
      </c>
      <c r="C15" s="138" t="s">
        <v>9</v>
      </c>
      <c r="D15" s="152" t="s">
        <v>772</v>
      </c>
      <c r="E15" s="153"/>
      <c r="F15" s="6">
        <v>0.5</v>
      </c>
      <c r="G15" s="216"/>
      <c r="H15" s="163"/>
      <c r="I15" s="6"/>
      <c r="J15" s="154" t="s">
        <v>827</v>
      </c>
      <c r="K15" s="155"/>
      <c r="L15" s="6">
        <v>1</v>
      </c>
      <c r="M15" s="154" t="s">
        <v>828</v>
      </c>
      <c r="N15" s="155"/>
      <c r="O15" s="6">
        <v>1.5</v>
      </c>
      <c r="P15" s="156" t="s">
        <v>671</v>
      </c>
      <c r="Q15" s="153"/>
      <c r="R15" s="6">
        <v>0.25</v>
      </c>
    </row>
    <row r="16" spans="2:19" ht="18.75" customHeight="1">
      <c r="B16" s="150"/>
      <c r="C16" s="139"/>
      <c r="D16" s="157" t="s">
        <v>760</v>
      </c>
      <c r="E16" s="155"/>
      <c r="F16" s="7">
        <v>1</v>
      </c>
      <c r="G16" s="154" t="s">
        <v>829</v>
      </c>
      <c r="H16" s="155"/>
      <c r="I16" s="7">
        <v>3</v>
      </c>
      <c r="J16" s="154" t="s">
        <v>697</v>
      </c>
      <c r="K16" s="155"/>
      <c r="L16" s="7">
        <v>2</v>
      </c>
      <c r="M16" s="154" t="s">
        <v>830</v>
      </c>
      <c r="N16" s="155"/>
      <c r="O16" s="7">
        <v>1</v>
      </c>
      <c r="P16" s="154" t="s">
        <v>831</v>
      </c>
      <c r="Q16" s="155"/>
      <c r="R16" s="7">
        <v>3</v>
      </c>
    </row>
    <row r="17" spans="2:18" ht="18.75" customHeight="1">
      <c r="B17" s="150"/>
      <c r="C17" s="139"/>
      <c r="D17" s="157" t="s">
        <v>832</v>
      </c>
      <c r="E17" s="155"/>
      <c r="F17" s="7">
        <v>1</v>
      </c>
      <c r="G17" s="216"/>
      <c r="H17" s="163"/>
      <c r="I17" s="7"/>
      <c r="J17" s="154" t="s">
        <v>833</v>
      </c>
      <c r="K17" s="155"/>
      <c r="L17" s="7">
        <v>0.5</v>
      </c>
      <c r="M17" s="154" t="s">
        <v>834</v>
      </c>
      <c r="N17" s="155"/>
      <c r="O17" s="7">
        <v>1</v>
      </c>
      <c r="P17" s="154"/>
      <c r="Q17" s="155"/>
      <c r="R17" s="7"/>
    </row>
    <row r="18" spans="2:18" ht="18.75" customHeight="1">
      <c r="B18" s="150"/>
      <c r="C18" s="139"/>
      <c r="D18" s="221"/>
      <c r="E18" s="222"/>
      <c r="F18" s="7"/>
      <c r="G18" s="154"/>
      <c r="H18" s="155"/>
      <c r="I18" s="12"/>
      <c r="J18" s="154"/>
      <c r="K18" s="155"/>
      <c r="L18" s="12"/>
      <c r="M18" s="154"/>
      <c r="N18" s="155"/>
      <c r="O18" s="12"/>
      <c r="P18" s="154"/>
      <c r="Q18" s="155"/>
      <c r="R18" s="12"/>
    </row>
    <row r="19" spans="2:18" ht="19.5" customHeight="1" thickBot="1">
      <c r="B19" s="150"/>
      <c r="C19" s="140"/>
      <c r="D19" s="158"/>
      <c r="E19" s="159"/>
      <c r="F19" s="9"/>
      <c r="G19" s="161"/>
      <c r="H19" s="159"/>
      <c r="I19" s="9"/>
      <c r="J19" s="161"/>
      <c r="K19" s="159"/>
      <c r="L19" s="9"/>
      <c r="M19" s="161"/>
      <c r="N19" s="159"/>
      <c r="O19" s="9"/>
      <c r="P19" s="161"/>
      <c r="Q19" s="159"/>
      <c r="R19" s="9"/>
    </row>
    <row r="20" spans="2:18" ht="18.75" customHeight="1">
      <c r="B20" s="150"/>
      <c r="C20" s="138" t="s">
        <v>20</v>
      </c>
      <c r="D20" s="152" t="s">
        <v>835</v>
      </c>
      <c r="E20" s="153"/>
      <c r="F20" s="6">
        <v>1</v>
      </c>
      <c r="G20" s="154" t="s">
        <v>838</v>
      </c>
      <c r="H20" s="155"/>
      <c r="I20" s="7">
        <v>1</v>
      </c>
      <c r="J20" s="154" t="s">
        <v>671</v>
      </c>
      <c r="K20" s="155"/>
      <c r="L20" s="7">
        <v>0.5</v>
      </c>
      <c r="M20" s="154" t="s">
        <v>836</v>
      </c>
      <c r="N20" s="155"/>
      <c r="O20" s="7">
        <v>0.5</v>
      </c>
      <c r="P20" s="154" t="s">
        <v>838</v>
      </c>
      <c r="Q20" s="155"/>
      <c r="R20" s="7">
        <v>1</v>
      </c>
    </row>
    <row r="21" spans="2:18" ht="18.75" customHeight="1">
      <c r="B21" s="150"/>
      <c r="C21" s="139"/>
      <c r="D21" s="157" t="s">
        <v>837</v>
      </c>
      <c r="E21" s="155"/>
      <c r="F21" s="7">
        <v>0.5</v>
      </c>
      <c r="G21" s="216" t="s">
        <v>850</v>
      </c>
      <c r="H21" s="163"/>
      <c r="I21" s="7">
        <v>1</v>
      </c>
      <c r="J21" s="154" t="s">
        <v>851</v>
      </c>
      <c r="K21" s="155"/>
      <c r="L21" s="7">
        <v>1</v>
      </c>
      <c r="M21" s="154" t="s">
        <v>703</v>
      </c>
      <c r="N21" s="155"/>
      <c r="O21" s="7">
        <v>1</v>
      </c>
      <c r="P21" s="154" t="s">
        <v>850</v>
      </c>
      <c r="Q21" s="155"/>
      <c r="R21" s="7">
        <v>1</v>
      </c>
    </row>
    <row r="22" spans="2:18" ht="18.75" customHeight="1">
      <c r="B22" s="150"/>
      <c r="C22" s="139"/>
      <c r="D22" s="157" t="s">
        <v>839</v>
      </c>
      <c r="E22" s="155"/>
      <c r="F22" s="7">
        <v>2</v>
      </c>
      <c r="G22" s="216" t="s">
        <v>839</v>
      </c>
      <c r="H22" s="163"/>
      <c r="I22" s="7">
        <v>1.5</v>
      </c>
      <c r="J22" s="154" t="s">
        <v>839</v>
      </c>
      <c r="K22" s="155"/>
      <c r="L22" s="7">
        <v>1.5</v>
      </c>
      <c r="M22" s="154" t="s">
        <v>839</v>
      </c>
      <c r="N22" s="155"/>
      <c r="O22" s="7">
        <v>1.5</v>
      </c>
      <c r="P22" s="154" t="s">
        <v>839</v>
      </c>
      <c r="Q22" s="155"/>
      <c r="R22" s="7">
        <v>1.25</v>
      </c>
    </row>
    <row r="23" spans="2:18" ht="18.75" customHeight="1">
      <c r="B23" s="150"/>
      <c r="C23" s="139"/>
      <c r="D23" s="157" t="s">
        <v>770</v>
      </c>
      <c r="E23" s="155"/>
      <c r="F23" s="7">
        <v>1</v>
      </c>
      <c r="G23" s="154" t="s">
        <v>770</v>
      </c>
      <c r="H23" s="155"/>
      <c r="I23" s="7">
        <v>0.5</v>
      </c>
      <c r="J23" s="154" t="s">
        <v>770</v>
      </c>
      <c r="K23" s="155"/>
      <c r="L23" s="7">
        <v>0.5</v>
      </c>
      <c r="M23" s="154" t="s">
        <v>770</v>
      </c>
      <c r="N23" s="155"/>
      <c r="O23" s="7">
        <v>0.5</v>
      </c>
      <c r="P23" s="154" t="s">
        <v>770</v>
      </c>
      <c r="Q23" s="155"/>
      <c r="R23" s="7">
        <v>0.5</v>
      </c>
    </row>
    <row r="24" spans="2:18" ht="19.5" customHeight="1" thickBot="1">
      <c r="B24" s="150"/>
      <c r="C24" s="140"/>
      <c r="D24" s="157" t="s">
        <v>110</v>
      </c>
      <c r="E24" s="155"/>
      <c r="F24" s="7"/>
      <c r="G24" s="161" t="s">
        <v>110</v>
      </c>
      <c r="H24" s="159"/>
      <c r="I24" s="9"/>
      <c r="J24" s="161" t="s">
        <v>110</v>
      </c>
      <c r="K24" s="159"/>
      <c r="L24" s="9"/>
      <c r="M24" s="161" t="s">
        <v>110</v>
      </c>
      <c r="N24" s="159"/>
      <c r="O24" s="9"/>
      <c r="P24" s="161" t="s">
        <v>110</v>
      </c>
      <c r="Q24" s="159"/>
      <c r="R24" s="9"/>
    </row>
    <row r="25" spans="2:18" ht="19.5" thickBot="1">
      <c r="B25" s="151"/>
      <c r="C25" s="18" t="s">
        <v>76</v>
      </c>
      <c r="D25" s="17"/>
      <c r="E25" s="17"/>
      <c r="F25" s="18">
        <f>SUM(F15:F24)</f>
        <v>7</v>
      </c>
      <c r="G25" s="17"/>
      <c r="H25" s="17"/>
      <c r="I25" s="18">
        <f>SUM(I15:I24)</f>
        <v>7</v>
      </c>
      <c r="J25" s="17"/>
      <c r="K25" s="17"/>
      <c r="L25" s="18">
        <f>SUM(L15:L24)</f>
        <v>7</v>
      </c>
      <c r="M25" s="17"/>
      <c r="N25" s="17"/>
      <c r="O25" s="18">
        <f>SUM(O15:O24)</f>
        <v>7</v>
      </c>
      <c r="P25" s="17"/>
      <c r="Q25" s="17"/>
      <c r="R25" s="18">
        <f>SUM(R15:R24)</f>
        <v>7</v>
      </c>
    </row>
  </sheetData>
  <mergeCells count="124"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  <mergeCell ref="Q2:Q3"/>
    <mergeCell ref="R2:R3"/>
    <mergeCell ref="B4:B14"/>
    <mergeCell ref="C4:C8"/>
    <mergeCell ref="D4:E4"/>
    <mergeCell ref="G4:H4"/>
    <mergeCell ref="J4:K4"/>
    <mergeCell ref="M4:N4"/>
    <mergeCell ref="P4:Q4"/>
    <mergeCell ref="D5:E5"/>
    <mergeCell ref="K2:K3"/>
    <mergeCell ref="L2:L3"/>
    <mergeCell ref="M2:M3"/>
    <mergeCell ref="N2:N3"/>
    <mergeCell ref="O2:O3"/>
    <mergeCell ref="P2:P3"/>
    <mergeCell ref="G5:H5"/>
    <mergeCell ref="J5:K5"/>
    <mergeCell ref="M5:N5"/>
    <mergeCell ref="P5:Q5"/>
    <mergeCell ref="D6:E6"/>
    <mergeCell ref="G6:H6"/>
    <mergeCell ref="J6:K6"/>
    <mergeCell ref="M6:N6"/>
    <mergeCell ref="P6:Q6"/>
    <mergeCell ref="D7:E7"/>
    <mergeCell ref="G7:H7"/>
    <mergeCell ref="J7:K7"/>
    <mergeCell ref="M7:N7"/>
    <mergeCell ref="P7:Q7"/>
    <mergeCell ref="D8:E8"/>
    <mergeCell ref="G8:H8"/>
    <mergeCell ref="J8:K8"/>
    <mergeCell ref="M8:N8"/>
    <mergeCell ref="P8:Q8"/>
    <mergeCell ref="P10:Q10"/>
    <mergeCell ref="D11:E11"/>
    <mergeCell ref="G11:H11"/>
    <mergeCell ref="J11:K11"/>
    <mergeCell ref="M11:N11"/>
    <mergeCell ref="P11:Q11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2:E12"/>
    <mergeCell ref="G12:H12"/>
    <mergeCell ref="J12:K12"/>
    <mergeCell ref="M12:N12"/>
    <mergeCell ref="P12:Q12"/>
    <mergeCell ref="D13:E13"/>
    <mergeCell ref="G13:H13"/>
    <mergeCell ref="J13:K13"/>
    <mergeCell ref="M13:N13"/>
    <mergeCell ref="P13:Q13"/>
    <mergeCell ref="P15:Q15"/>
    <mergeCell ref="D16:E16"/>
    <mergeCell ref="G16:H16"/>
    <mergeCell ref="J16:K16"/>
    <mergeCell ref="M16:N16"/>
    <mergeCell ref="P16:Q16"/>
    <mergeCell ref="B15:B25"/>
    <mergeCell ref="C15:C19"/>
    <mergeCell ref="D15:E15"/>
    <mergeCell ref="G15:H15"/>
    <mergeCell ref="J15:K15"/>
    <mergeCell ref="M15:N15"/>
    <mergeCell ref="D17:E17"/>
    <mergeCell ref="G17:H17"/>
    <mergeCell ref="J17:K17"/>
    <mergeCell ref="M17:N17"/>
    <mergeCell ref="C20:C24"/>
    <mergeCell ref="D20:E20"/>
    <mergeCell ref="G20:H20"/>
    <mergeCell ref="J20:K20"/>
    <mergeCell ref="M20:N20"/>
    <mergeCell ref="P17:Q17"/>
    <mergeCell ref="D18:E18"/>
    <mergeCell ref="G18:H18"/>
    <mergeCell ref="J18:K18"/>
    <mergeCell ref="M18:N18"/>
    <mergeCell ref="P18:Q18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D24:E24"/>
    <mergeCell ref="G24:H24"/>
    <mergeCell ref="J24:K24"/>
    <mergeCell ref="M24:N24"/>
    <mergeCell ref="P24:Q24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</mergeCells>
  <phoneticPr fontId="1"/>
  <pageMargins left="0.7" right="0.7" top="0.75" bottom="0.75" header="0.3" footer="0.3"/>
  <pageSetup paperSize="8" scale="67" orientation="landscape" horizontalDpi="1200" verticalDpi="12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0CD98-85A2-41DE-9AD6-B58EB13803B9}">
  <sheetPr codeName="Sheet35"/>
  <dimension ref="B1:S25"/>
  <sheetViews>
    <sheetView view="pageBreakPreview" zoomScale="60" zoomScaleNormal="70" workbookViewId="0">
      <selection activeCell="M32" sqref="M32"/>
    </sheetView>
  </sheetViews>
  <sheetFormatPr defaultRowHeight="18.75"/>
  <cols>
    <col min="1" max="1" width="2.5" customWidth="1"/>
    <col min="4" max="18" width="16" customWidth="1"/>
  </cols>
  <sheetData>
    <row r="1" spans="2:19" ht="24.75" thickBot="1">
      <c r="D1" s="53">
        <v>45754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19" s="5" customFormat="1">
      <c r="B2" s="201"/>
      <c r="C2" s="202"/>
      <c r="D2" s="205">
        <f>D1</f>
        <v>45754</v>
      </c>
      <c r="E2" s="195" t="s">
        <v>3</v>
      </c>
      <c r="F2" s="191" t="s">
        <v>4</v>
      </c>
      <c r="G2" s="197">
        <f>D2+1</f>
        <v>45755</v>
      </c>
      <c r="H2" s="195" t="s">
        <v>5</v>
      </c>
      <c r="I2" s="191" t="s">
        <v>4</v>
      </c>
      <c r="J2" s="197">
        <f>G2+1</f>
        <v>45756</v>
      </c>
      <c r="K2" s="195" t="s">
        <v>6</v>
      </c>
      <c r="L2" s="191" t="s">
        <v>4</v>
      </c>
      <c r="M2" s="197">
        <f>J2+1</f>
        <v>45757</v>
      </c>
      <c r="N2" s="195" t="s">
        <v>7</v>
      </c>
      <c r="O2" s="191" t="s">
        <v>4</v>
      </c>
      <c r="P2" s="197">
        <f>M2+1</f>
        <v>45758</v>
      </c>
      <c r="Q2" s="195" t="s">
        <v>8</v>
      </c>
      <c r="R2" s="191" t="s">
        <v>4</v>
      </c>
    </row>
    <row r="3" spans="2:19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19" ht="18.75" customHeight="1">
      <c r="B4" s="149" t="s">
        <v>32</v>
      </c>
      <c r="C4" s="138" t="s">
        <v>9</v>
      </c>
      <c r="D4" s="156" t="s">
        <v>810</v>
      </c>
      <c r="E4" s="153"/>
      <c r="F4" s="6">
        <v>0.95</v>
      </c>
      <c r="G4" s="156" t="s">
        <v>166</v>
      </c>
      <c r="H4" s="153"/>
      <c r="I4" s="6">
        <v>0.95</v>
      </c>
      <c r="J4" s="156" t="s">
        <v>166</v>
      </c>
      <c r="K4" s="153"/>
      <c r="L4" s="6">
        <v>0.95</v>
      </c>
      <c r="M4" s="156" t="s">
        <v>166</v>
      </c>
      <c r="N4" s="153"/>
      <c r="O4" s="6">
        <v>0.95</v>
      </c>
      <c r="P4" s="264" t="s">
        <v>166</v>
      </c>
      <c r="Q4" s="153"/>
      <c r="R4" s="6">
        <v>0.95</v>
      </c>
      <c r="S4" s="95"/>
    </row>
    <row r="5" spans="2:19">
      <c r="B5" s="150"/>
      <c r="C5" s="139"/>
      <c r="D5" s="154" t="s">
        <v>675</v>
      </c>
      <c r="E5" s="155"/>
      <c r="F5" s="7">
        <v>0.05</v>
      </c>
      <c r="G5" s="154" t="s">
        <v>676</v>
      </c>
      <c r="H5" s="155"/>
      <c r="I5" s="7">
        <v>0.05</v>
      </c>
      <c r="J5" s="154" t="s">
        <v>677</v>
      </c>
      <c r="K5" s="155"/>
      <c r="L5" s="7">
        <v>0.05</v>
      </c>
      <c r="M5" s="154" t="s">
        <v>678</v>
      </c>
      <c r="N5" s="155"/>
      <c r="O5" s="7">
        <v>0.05</v>
      </c>
      <c r="P5" s="154" t="s">
        <v>679</v>
      </c>
      <c r="Q5" s="155"/>
      <c r="R5" s="7">
        <v>0.05</v>
      </c>
      <c r="S5" s="95"/>
    </row>
    <row r="6" spans="2:19">
      <c r="B6" s="150"/>
      <c r="C6" s="139"/>
      <c r="D6" s="154" t="s">
        <v>811</v>
      </c>
      <c r="E6" s="155"/>
      <c r="F6" s="116">
        <v>1.5</v>
      </c>
      <c r="G6" s="141" t="s">
        <v>812</v>
      </c>
      <c r="H6" s="142"/>
      <c r="I6" s="116">
        <v>0.5</v>
      </c>
      <c r="J6" s="141" t="s">
        <v>813</v>
      </c>
      <c r="K6" s="142"/>
      <c r="L6" s="116">
        <v>0.5</v>
      </c>
      <c r="M6" s="154" t="s">
        <v>682</v>
      </c>
      <c r="N6" s="155"/>
      <c r="O6" s="117">
        <v>1</v>
      </c>
      <c r="P6" s="283" t="s">
        <v>814</v>
      </c>
      <c r="Q6" s="245"/>
      <c r="R6" s="58">
        <v>1</v>
      </c>
      <c r="S6" s="95"/>
    </row>
    <row r="7" spans="2:19">
      <c r="B7" s="150"/>
      <c r="C7" s="139"/>
      <c r="D7" s="166" t="s">
        <v>815</v>
      </c>
      <c r="E7" s="142"/>
      <c r="F7" s="116">
        <v>0.25</v>
      </c>
      <c r="G7" s="141" t="s">
        <v>816</v>
      </c>
      <c r="H7" s="142"/>
      <c r="I7" s="116">
        <v>2.75</v>
      </c>
      <c r="J7" s="141" t="s">
        <v>816</v>
      </c>
      <c r="K7" s="142"/>
      <c r="L7" s="116">
        <v>1.75</v>
      </c>
      <c r="M7" s="141" t="s">
        <v>817</v>
      </c>
      <c r="N7" s="142"/>
      <c r="O7" s="116">
        <v>1.25</v>
      </c>
      <c r="P7" s="141" t="s">
        <v>818</v>
      </c>
      <c r="Q7" s="142"/>
      <c r="R7" s="116">
        <v>1.25</v>
      </c>
      <c r="S7" s="8"/>
    </row>
    <row r="8" spans="2:19" ht="19.5" thickBot="1">
      <c r="B8" s="150"/>
      <c r="C8" s="140"/>
      <c r="D8" s="172" t="s">
        <v>812</v>
      </c>
      <c r="E8" s="173"/>
      <c r="F8" s="118">
        <v>0.5</v>
      </c>
      <c r="G8" s="263"/>
      <c r="H8" s="173"/>
      <c r="I8" s="119"/>
      <c r="J8" s="263"/>
      <c r="K8" s="173"/>
      <c r="L8" s="119"/>
      <c r="M8" s="217" t="s">
        <v>750</v>
      </c>
      <c r="N8" s="218"/>
      <c r="O8" s="118"/>
      <c r="P8" s="172"/>
      <c r="Q8" s="173"/>
      <c r="R8" s="118"/>
      <c r="S8" s="96"/>
    </row>
    <row r="9" spans="2:19" ht="18.75" customHeight="1">
      <c r="B9" s="150"/>
      <c r="C9" s="138" t="s">
        <v>20</v>
      </c>
      <c r="D9" s="238" t="s">
        <v>819</v>
      </c>
      <c r="E9" s="165"/>
      <c r="F9" s="116">
        <v>0.75</v>
      </c>
      <c r="G9" s="238" t="s">
        <v>820</v>
      </c>
      <c r="H9" s="165"/>
      <c r="I9" s="116">
        <v>0.5</v>
      </c>
      <c r="J9" s="238" t="s">
        <v>821</v>
      </c>
      <c r="K9" s="165"/>
      <c r="L9" s="116">
        <v>2.5</v>
      </c>
      <c r="M9" s="238" t="s">
        <v>822</v>
      </c>
      <c r="N9" s="165"/>
      <c r="O9" s="116">
        <v>2.5</v>
      </c>
      <c r="P9" s="238" t="s">
        <v>823</v>
      </c>
      <c r="Q9" s="165"/>
      <c r="R9" s="116">
        <v>2.5</v>
      </c>
      <c r="S9" s="11"/>
    </row>
    <row r="10" spans="2:19" ht="18.75" customHeight="1">
      <c r="B10" s="150"/>
      <c r="C10" s="139"/>
      <c r="D10" s="154" t="s">
        <v>685</v>
      </c>
      <c r="E10" s="155"/>
      <c r="F10" s="117">
        <v>0.25</v>
      </c>
      <c r="G10" s="141" t="s">
        <v>817</v>
      </c>
      <c r="H10" s="142"/>
      <c r="I10" s="116">
        <v>1</v>
      </c>
      <c r="J10" s="141"/>
      <c r="K10" s="142"/>
      <c r="L10" s="116"/>
      <c r="M10" s="141"/>
      <c r="N10" s="142"/>
      <c r="O10" s="116"/>
      <c r="P10" s="141"/>
      <c r="Q10" s="142"/>
      <c r="R10" s="116"/>
      <c r="S10" s="11"/>
    </row>
    <row r="11" spans="2:19" ht="18.75" customHeight="1">
      <c r="B11" s="150"/>
      <c r="C11" s="139"/>
      <c r="D11" s="154" t="s">
        <v>824</v>
      </c>
      <c r="E11" s="155"/>
      <c r="F11" s="116">
        <v>1.5</v>
      </c>
      <c r="G11" s="141"/>
      <c r="H11" s="142"/>
      <c r="I11" s="116"/>
      <c r="J11" s="141"/>
      <c r="K11" s="142"/>
      <c r="L11" s="116"/>
      <c r="M11" s="154"/>
      <c r="N11" s="155"/>
      <c r="O11" s="116"/>
      <c r="P11" s="141"/>
      <c r="Q11" s="142"/>
      <c r="R11" s="116"/>
      <c r="S11" s="96"/>
    </row>
    <row r="12" spans="2:19" ht="18.75" customHeight="1">
      <c r="B12" s="150"/>
      <c r="C12" s="139"/>
      <c r="D12" s="154" t="s">
        <v>825</v>
      </c>
      <c r="E12" s="155"/>
      <c r="F12" s="116">
        <v>1</v>
      </c>
      <c r="G12" s="154" t="s">
        <v>825</v>
      </c>
      <c r="H12" s="155"/>
      <c r="I12" s="116">
        <v>1</v>
      </c>
      <c r="J12" s="154" t="s">
        <v>825</v>
      </c>
      <c r="K12" s="155"/>
      <c r="L12" s="116">
        <v>1</v>
      </c>
      <c r="M12" s="154" t="s">
        <v>825</v>
      </c>
      <c r="N12" s="155"/>
      <c r="O12" s="116">
        <v>1</v>
      </c>
      <c r="P12" s="154" t="s">
        <v>825</v>
      </c>
      <c r="Q12" s="155"/>
      <c r="R12" s="116">
        <v>1</v>
      </c>
      <c r="S12" s="96"/>
    </row>
    <row r="13" spans="2:19" ht="19.5" customHeight="1" thickBot="1">
      <c r="B13" s="150"/>
      <c r="C13" s="140"/>
      <c r="D13" s="160" t="s">
        <v>826</v>
      </c>
      <c r="E13" s="159"/>
      <c r="F13" s="9">
        <v>1</v>
      </c>
      <c r="G13" s="160" t="s">
        <v>826</v>
      </c>
      <c r="H13" s="159"/>
      <c r="I13" s="9">
        <v>1</v>
      </c>
      <c r="J13" s="160" t="s">
        <v>826</v>
      </c>
      <c r="K13" s="159"/>
      <c r="L13" s="9">
        <v>1</v>
      </c>
      <c r="M13" s="160" t="s">
        <v>826</v>
      </c>
      <c r="N13" s="159"/>
      <c r="O13" s="9">
        <v>1</v>
      </c>
      <c r="P13" s="160" t="s">
        <v>826</v>
      </c>
      <c r="Q13" s="159"/>
      <c r="R13" s="9">
        <v>1</v>
      </c>
    </row>
    <row r="14" spans="2:19" ht="19.5" thickBot="1">
      <c r="B14" s="151"/>
      <c r="C14" s="18" t="s">
        <v>76</v>
      </c>
      <c r="D14" s="17"/>
      <c r="E14" s="17"/>
      <c r="F14" s="18">
        <f>SUM(F4:F13)</f>
        <v>7.75</v>
      </c>
      <c r="G14" s="17"/>
      <c r="H14" s="17"/>
      <c r="I14" s="18">
        <f>SUM(I4:I13)</f>
        <v>7.75</v>
      </c>
      <c r="J14" s="17"/>
      <c r="K14" s="17"/>
      <c r="L14" s="18">
        <f>SUM(L4:L13)</f>
        <v>7.75</v>
      </c>
      <c r="M14" s="17"/>
      <c r="N14" s="17"/>
      <c r="O14" s="18">
        <f>SUM(O4:O13)</f>
        <v>7.75</v>
      </c>
      <c r="P14" s="17"/>
      <c r="Q14" s="17"/>
      <c r="R14" s="18">
        <f>SUM(R4:R13)</f>
        <v>7.75</v>
      </c>
    </row>
    <row r="15" spans="2:19" ht="18.75" customHeight="1">
      <c r="B15" s="149" t="s">
        <v>65</v>
      </c>
      <c r="C15" s="138" t="s">
        <v>9</v>
      </c>
      <c r="D15" s="152" t="s">
        <v>772</v>
      </c>
      <c r="E15" s="153"/>
      <c r="F15" s="6">
        <v>0.5</v>
      </c>
      <c r="G15" s="216" t="s">
        <v>797</v>
      </c>
      <c r="H15" s="163"/>
      <c r="I15" s="6">
        <v>1.5</v>
      </c>
      <c r="J15" s="154" t="s">
        <v>697</v>
      </c>
      <c r="K15" s="155"/>
      <c r="L15" s="6">
        <v>2</v>
      </c>
      <c r="M15" s="154" t="s">
        <v>798</v>
      </c>
      <c r="N15" s="155"/>
      <c r="O15" s="6">
        <v>1</v>
      </c>
      <c r="P15" s="156" t="s">
        <v>671</v>
      </c>
      <c r="Q15" s="153"/>
      <c r="R15" s="6">
        <v>0.25</v>
      </c>
    </row>
    <row r="16" spans="2:19" ht="18.75" customHeight="1">
      <c r="B16" s="150"/>
      <c r="C16" s="139"/>
      <c r="D16" s="157" t="s">
        <v>799</v>
      </c>
      <c r="E16" s="155"/>
      <c r="F16" s="7">
        <v>1</v>
      </c>
      <c r="G16" s="154" t="s">
        <v>800</v>
      </c>
      <c r="H16" s="155"/>
      <c r="I16" s="7">
        <v>1.5</v>
      </c>
      <c r="J16" s="154" t="s">
        <v>700</v>
      </c>
      <c r="K16" s="155"/>
      <c r="L16" s="7">
        <v>2</v>
      </c>
      <c r="M16" s="154" t="s">
        <v>773</v>
      </c>
      <c r="N16" s="155"/>
      <c r="O16" s="7">
        <v>1.5</v>
      </c>
      <c r="P16" s="154" t="s">
        <v>667</v>
      </c>
      <c r="Q16" s="155"/>
      <c r="R16" s="7">
        <v>0.5</v>
      </c>
    </row>
    <row r="17" spans="2:18" ht="18.75" customHeight="1">
      <c r="B17" s="150"/>
      <c r="C17" s="139"/>
      <c r="D17" s="157" t="s">
        <v>801</v>
      </c>
      <c r="E17" s="155"/>
      <c r="F17" s="7">
        <v>1.5</v>
      </c>
      <c r="G17" s="216"/>
      <c r="H17" s="163"/>
      <c r="I17" s="7"/>
      <c r="J17" s="154"/>
      <c r="K17" s="155"/>
      <c r="L17" s="7"/>
      <c r="M17" s="154" t="s">
        <v>802</v>
      </c>
      <c r="N17" s="155"/>
      <c r="O17" s="7">
        <v>1</v>
      </c>
      <c r="P17" s="154" t="s">
        <v>803</v>
      </c>
      <c r="Q17" s="155"/>
      <c r="R17" s="7">
        <v>1.5</v>
      </c>
    </row>
    <row r="18" spans="2:18" ht="18.75" customHeight="1">
      <c r="B18" s="150"/>
      <c r="C18" s="139"/>
      <c r="D18" s="221" t="s">
        <v>782</v>
      </c>
      <c r="E18" s="222"/>
      <c r="F18" s="7">
        <v>0.5</v>
      </c>
      <c r="G18" s="154"/>
      <c r="H18" s="155"/>
      <c r="I18" s="12"/>
      <c r="J18" s="154"/>
      <c r="K18" s="155"/>
      <c r="L18" s="12"/>
      <c r="M18" s="154"/>
      <c r="N18" s="155"/>
      <c r="O18" s="12"/>
      <c r="P18" s="154"/>
      <c r="Q18" s="155"/>
      <c r="R18" s="12"/>
    </row>
    <row r="19" spans="2:18" ht="19.5" customHeight="1" thickBot="1">
      <c r="B19" s="150"/>
      <c r="C19" s="140"/>
      <c r="D19" s="158"/>
      <c r="E19" s="159"/>
      <c r="F19" s="9"/>
      <c r="G19" s="161"/>
      <c r="H19" s="159"/>
      <c r="I19" s="9"/>
      <c r="J19" s="161"/>
      <c r="K19" s="159"/>
      <c r="L19" s="9"/>
      <c r="M19" s="161"/>
      <c r="N19" s="159"/>
      <c r="O19" s="9"/>
      <c r="P19" s="161"/>
      <c r="Q19" s="159"/>
      <c r="R19" s="9"/>
    </row>
    <row r="20" spans="2:18" ht="18.75" customHeight="1">
      <c r="B20" s="150"/>
      <c r="C20" s="138" t="s">
        <v>20</v>
      </c>
      <c r="D20" s="152" t="s">
        <v>804</v>
      </c>
      <c r="E20" s="153"/>
      <c r="F20" s="6">
        <v>1</v>
      </c>
      <c r="G20" s="154" t="s">
        <v>805</v>
      </c>
      <c r="H20" s="155"/>
      <c r="I20" s="7">
        <v>4</v>
      </c>
      <c r="J20" s="154" t="s">
        <v>671</v>
      </c>
      <c r="K20" s="155"/>
      <c r="L20" s="7">
        <v>0.5</v>
      </c>
      <c r="M20" s="154" t="s">
        <v>703</v>
      </c>
      <c r="N20" s="155"/>
      <c r="O20" s="7">
        <v>0.5</v>
      </c>
      <c r="P20" s="154" t="s">
        <v>806</v>
      </c>
      <c r="Q20" s="155"/>
      <c r="R20" s="7">
        <v>4.25</v>
      </c>
    </row>
    <row r="21" spans="2:18" ht="18.75" customHeight="1">
      <c r="B21" s="150"/>
      <c r="C21" s="139"/>
      <c r="D21" s="157" t="s">
        <v>807</v>
      </c>
      <c r="E21" s="155"/>
      <c r="F21" s="7">
        <v>0.5</v>
      </c>
      <c r="G21" s="216"/>
      <c r="H21" s="163"/>
      <c r="I21" s="7"/>
      <c r="J21" s="154" t="s">
        <v>808</v>
      </c>
      <c r="K21" s="155"/>
      <c r="L21" s="7">
        <v>0.5</v>
      </c>
      <c r="M21" s="154" t="s">
        <v>809</v>
      </c>
      <c r="N21" s="155"/>
      <c r="O21" s="7">
        <v>1.5</v>
      </c>
      <c r="P21" s="154"/>
      <c r="Q21" s="155"/>
      <c r="R21" s="7"/>
    </row>
    <row r="22" spans="2:18" ht="18.75" customHeight="1">
      <c r="B22" s="150"/>
      <c r="C22" s="139"/>
      <c r="D22" s="157" t="s">
        <v>701</v>
      </c>
      <c r="E22" s="155"/>
      <c r="F22" s="7">
        <v>1.5</v>
      </c>
      <c r="G22" s="216" t="s">
        <v>701</v>
      </c>
      <c r="H22" s="163"/>
      <c r="I22" s="7"/>
      <c r="J22" s="154" t="s">
        <v>701</v>
      </c>
      <c r="K22" s="155"/>
      <c r="L22" s="7">
        <v>1.5</v>
      </c>
      <c r="M22" s="154" t="s">
        <v>701</v>
      </c>
      <c r="N22" s="155"/>
      <c r="O22" s="7">
        <v>1</v>
      </c>
      <c r="P22" s="154" t="s">
        <v>701</v>
      </c>
      <c r="Q22" s="155"/>
      <c r="R22" s="7"/>
    </row>
    <row r="23" spans="2:18" ht="18.75" customHeight="1">
      <c r="B23" s="150"/>
      <c r="C23" s="139"/>
      <c r="D23" s="157" t="s">
        <v>770</v>
      </c>
      <c r="E23" s="155"/>
      <c r="F23" s="7">
        <v>0.5</v>
      </c>
      <c r="G23" s="154" t="s">
        <v>770</v>
      </c>
      <c r="H23" s="155"/>
      <c r="I23" s="7"/>
      <c r="J23" s="154" t="s">
        <v>770</v>
      </c>
      <c r="K23" s="155"/>
      <c r="L23" s="7">
        <v>0.5</v>
      </c>
      <c r="M23" s="154" t="s">
        <v>770</v>
      </c>
      <c r="N23" s="155"/>
      <c r="O23" s="7">
        <v>0.5</v>
      </c>
      <c r="P23" s="154" t="s">
        <v>770</v>
      </c>
      <c r="Q23" s="155"/>
      <c r="R23" s="7">
        <v>0.5</v>
      </c>
    </row>
    <row r="24" spans="2:18" ht="19.5" customHeight="1" thickBot="1">
      <c r="B24" s="150"/>
      <c r="C24" s="140"/>
      <c r="D24" s="157" t="s">
        <v>110</v>
      </c>
      <c r="E24" s="155"/>
      <c r="F24" s="7"/>
      <c r="G24" s="161" t="s">
        <v>110</v>
      </c>
      <c r="H24" s="159"/>
      <c r="I24" s="9"/>
      <c r="J24" s="161" t="s">
        <v>110</v>
      </c>
      <c r="K24" s="159"/>
      <c r="L24" s="9"/>
      <c r="M24" s="161" t="s">
        <v>110</v>
      </c>
      <c r="N24" s="159"/>
      <c r="O24" s="9"/>
      <c r="P24" s="161" t="s">
        <v>110</v>
      </c>
      <c r="Q24" s="159"/>
      <c r="R24" s="9"/>
    </row>
    <row r="25" spans="2:18" ht="19.5" thickBot="1">
      <c r="B25" s="151"/>
      <c r="C25" s="18" t="s">
        <v>76</v>
      </c>
      <c r="D25" s="17"/>
      <c r="E25" s="17"/>
      <c r="F25" s="18">
        <f>SUM(F15:F24)</f>
        <v>7</v>
      </c>
      <c r="G25" s="17"/>
      <c r="H25" s="17"/>
      <c r="I25" s="18">
        <f>SUM(I15:I24)</f>
        <v>7</v>
      </c>
      <c r="J25" s="17"/>
      <c r="K25" s="17"/>
      <c r="L25" s="18">
        <f>SUM(L15:L24)</f>
        <v>7</v>
      </c>
      <c r="M25" s="17"/>
      <c r="N25" s="17"/>
      <c r="O25" s="18">
        <f>SUM(O15:O24)</f>
        <v>7</v>
      </c>
      <c r="P25" s="17"/>
      <c r="Q25" s="17"/>
      <c r="R25" s="18">
        <f>SUM(R15:R24)</f>
        <v>7</v>
      </c>
    </row>
  </sheetData>
  <mergeCells count="124"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  <mergeCell ref="Q2:Q3"/>
    <mergeCell ref="R2:R3"/>
    <mergeCell ref="B4:B14"/>
    <mergeCell ref="C4:C8"/>
    <mergeCell ref="D4:E4"/>
    <mergeCell ref="G4:H4"/>
    <mergeCell ref="J4:K4"/>
    <mergeCell ref="M4:N4"/>
    <mergeCell ref="P4:Q4"/>
    <mergeCell ref="D5:E5"/>
    <mergeCell ref="K2:K3"/>
    <mergeCell ref="L2:L3"/>
    <mergeCell ref="M2:M3"/>
    <mergeCell ref="N2:N3"/>
    <mergeCell ref="O2:O3"/>
    <mergeCell ref="P2:P3"/>
    <mergeCell ref="G5:H5"/>
    <mergeCell ref="J5:K5"/>
    <mergeCell ref="M5:N5"/>
    <mergeCell ref="P5:Q5"/>
    <mergeCell ref="D6:E6"/>
    <mergeCell ref="G6:H6"/>
    <mergeCell ref="J6:K6"/>
    <mergeCell ref="M6:N6"/>
    <mergeCell ref="P6:Q6"/>
    <mergeCell ref="D7:E7"/>
    <mergeCell ref="G7:H7"/>
    <mergeCell ref="J7:K7"/>
    <mergeCell ref="M7:N7"/>
    <mergeCell ref="P7:Q7"/>
    <mergeCell ref="D8:E8"/>
    <mergeCell ref="G8:H8"/>
    <mergeCell ref="J8:K8"/>
    <mergeCell ref="M8:N8"/>
    <mergeCell ref="P8:Q8"/>
    <mergeCell ref="P10:Q10"/>
    <mergeCell ref="D11:E11"/>
    <mergeCell ref="G11:H11"/>
    <mergeCell ref="J11:K11"/>
    <mergeCell ref="M11:N11"/>
    <mergeCell ref="P11:Q11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2:E12"/>
    <mergeCell ref="G12:H12"/>
    <mergeCell ref="J12:K12"/>
    <mergeCell ref="M12:N12"/>
    <mergeCell ref="P12:Q12"/>
    <mergeCell ref="D13:E13"/>
    <mergeCell ref="G13:H13"/>
    <mergeCell ref="J13:K13"/>
    <mergeCell ref="M13:N13"/>
    <mergeCell ref="P13:Q13"/>
    <mergeCell ref="P15:Q15"/>
    <mergeCell ref="D16:E16"/>
    <mergeCell ref="G16:H16"/>
    <mergeCell ref="J16:K16"/>
    <mergeCell ref="M16:N16"/>
    <mergeCell ref="P16:Q16"/>
    <mergeCell ref="B15:B25"/>
    <mergeCell ref="C15:C19"/>
    <mergeCell ref="D15:E15"/>
    <mergeCell ref="G15:H15"/>
    <mergeCell ref="J15:K15"/>
    <mergeCell ref="M15:N15"/>
    <mergeCell ref="D17:E17"/>
    <mergeCell ref="G17:H17"/>
    <mergeCell ref="J17:K17"/>
    <mergeCell ref="M17:N17"/>
    <mergeCell ref="C20:C24"/>
    <mergeCell ref="D20:E20"/>
    <mergeCell ref="G20:H20"/>
    <mergeCell ref="J20:K20"/>
    <mergeCell ref="M20:N20"/>
    <mergeCell ref="P17:Q17"/>
    <mergeCell ref="D18:E18"/>
    <mergeCell ref="G18:H18"/>
    <mergeCell ref="J18:K18"/>
    <mergeCell ref="M18:N18"/>
    <mergeCell ref="P18:Q18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D24:E24"/>
    <mergeCell ref="G24:H24"/>
    <mergeCell ref="J24:K24"/>
    <mergeCell ref="M24:N24"/>
    <mergeCell ref="P24:Q24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</mergeCells>
  <phoneticPr fontId="1"/>
  <pageMargins left="0.7" right="0.7" top="0.75" bottom="0.75" header="0.3" footer="0.3"/>
  <pageSetup paperSize="8" scale="68" orientation="landscape" horizontalDpi="1200" verticalDpi="120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414A0-2D68-4C2E-BDDA-C3DB7130C006}">
  <sheetPr codeName="Sheet36"/>
  <dimension ref="B1:S25"/>
  <sheetViews>
    <sheetView view="pageBreakPreview" zoomScale="85" zoomScaleNormal="70" zoomScaleSheetLayoutView="85" workbookViewId="0">
      <selection activeCell="G18" sqref="G18:H18"/>
    </sheetView>
  </sheetViews>
  <sheetFormatPr defaultRowHeight="18.75"/>
  <cols>
    <col min="1" max="1" width="2.5" customWidth="1"/>
    <col min="4" max="18" width="16" customWidth="1"/>
  </cols>
  <sheetData>
    <row r="1" spans="2:19" ht="24.75" thickBot="1">
      <c r="D1" s="53">
        <v>45747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19" s="5" customFormat="1">
      <c r="B2" s="201"/>
      <c r="C2" s="202"/>
      <c r="D2" s="205">
        <f>D1</f>
        <v>45747</v>
      </c>
      <c r="E2" s="195" t="s">
        <v>3</v>
      </c>
      <c r="F2" s="191" t="s">
        <v>4</v>
      </c>
      <c r="G2" s="197">
        <f>D2+1</f>
        <v>45748</v>
      </c>
      <c r="H2" s="195" t="s">
        <v>5</v>
      </c>
      <c r="I2" s="191" t="s">
        <v>4</v>
      </c>
      <c r="J2" s="197">
        <f>G2+1</f>
        <v>45749</v>
      </c>
      <c r="K2" s="195" t="s">
        <v>6</v>
      </c>
      <c r="L2" s="191" t="s">
        <v>4</v>
      </c>
      <c r="M2" s="197">
        <f>J2+1</f>
        <v>45750</v>
      </c>
      <c r="N2" s="195" t="s">
        <v>7</v>
      </c>
      <c r="O2" s="191" t="s">
        <v>4</v>
      </c>
      <c r="P2" s="197">
        <f>M2+1</f>
        <v>45751</v>
      </c>
      <c r="Q2" s="195" t="s">
        <v>8</v>
      </c>
      <c r="R2" s="191" t="s">
        <v>4</v>
      </c>
    </row>
    <row r="3" spans="2:19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19" ht="18.75" customHeight="1">
      <c r="B4" s="149" t="s">
        <v>32</v>
      </c>
      <c r="C4" s="138" t="s">
        <v>9</v>
      </c>
      <c r="D4" s="258" t="s">
        <v>551</v>
      </c>
      <c r="E4" s="194"/>
      <c r="F4" s="75">
        <v>0.45</v>
      </c>
      <c r="G4" s="193" t="s">
        <v>166</v>
      </c>
      <c r="H4" s="194"/>
      <c r="I4" s="75">
        <v>0.45</v>
      </c>
      <c r="J4" s="193" t="s">
        <v>166</v>
      </c>
      <c r="K4" s="194"/>
      <c r="L4" s="75">
        <v>0.45</v>
      </c>
      <c r="M4" s="241"/>
      <c r="N4" s="232"/>
      <c r="O4" s="61"/>
      <c r="P4" s="231"/>
      <c r="Q4" s="232"/>
      <c r="R4" s="61"/>
      <c r="S4" s="95"/>
    </row>
    <row r="5" spans="2:19">
      <c r="B5" s="150"/>
      <c r="C5" s="139"/>
      <c r="D5" s="233" t="s">
        <v>675</v>
      </c>
      <c r="E5" s="184"/>
      <c r="F5" s="32">
        <v>0.05</v>
      </c>
      <c r="G5" s="183" t="s">
        <v>676</v>
      </c>
      <c r="H5" s="184"/>
      <c r="I5" s="32">
        <v>0.05</v>
      </c>
      <c r="J5" s="183" t="s">
        <v>677</v>
      </c>
      <c r="K5" s="184"/>
      <c r="L5" s="32">
        <v>0.05</v>
      </c>
      <c r="M5" s="183"/>
      <c r="N5" s="234"/>
      <c r="O5" s="62"/>
      <c r="P5" s="183"/>
      <c r="Q5" s="234"/>
      <c r="R5" s="62"/>
      <c r="S5" s="95"/>
    </row>
    <row r="6" spans="2:19">
      <c r="B6" s="150"/>
      <c r="C6" s="139"/>
      <c r="D6" s="147" t="s">
        <v>785</v>
      </c>
      <c r="E6" s="148"/>
      <c r="F6" s="111">
        <v>2.5</v>
      </c>
      <c r="G6" s="147" t="s">
        <v>786</v>
      </c>
      <c r="H6" s="148"/>
      <c r="I6" s="111">
        <v>1.5</v>
      </c>
      <c r="J6" s="147" t="s">
        <v>787</v>
      </c>
      <c r="K6" s="148"/>
      <c r="L6" s="111">
        <v>1.5</v>
      </c>
      <c r="M6" s="183"/>
      <c r="N6" s="184"/>
      <c r="O6" s="94"/>
      <c r="P6" s="183"/>
      <c r="Q6" s="184"/>
      <c r="R6" s="66"/>
      <c r="S6" s="95"/>
    </row>
    <row r="7" spans="2:19">
      <c r="B7" s="150"/>
      <c r="C7" s="139"/>
      <c r="D7" s="188"/>
      <c r="E7" s="148"/>
      <c r="F7" s="111"/>
      <c r="G7" s="147" t="s">
        <v>788</v>
      </c>
      <c r="H7" s="148"/>
      <c r="I7" s="111">
        <v>0.75</v>
      </c>
      <c r="J7" s="147" t="s">
        <v>789</v>
      </c>
      <c r="K7" s="148"/>
      <c r="L7" s="111">
        <v>1</v>
      </c>
      <c r="M7" s="226"/>
      <c r="N7" s="227"/>
      <c r="O7" s="94"/>
      <c r="P7" s="226"/>
      <c r="Q7" s="227"/>
      <c r="R7" s="94"/>
      <c r="S7" s="8"/>
    </row>
    <row r="8" spans="2:19" ht="19.5" thickBot="1">
      <c r="B8" s="150"/>
      <c r="C8" s="140"/>
      <c r="D8" s="189"/>
      <c r="E8" s="190"/>
      <c r="F8" s="112"/>
      <c r="G8" s="284" t="s">
        <v>685</v>
      </c>
      <c r="H8" s="285"/>
      <c r="I8" s="115">
        <v>0.25</v>
      </c>
      <c r="J8" s="189"/>
      <c r="K8" s="190"/>
      <c r="L8" s="112"/>
      <c r="M8" s="239"/>
      <c r="N8" s="240"/>
      <c r="O8" s="93"/>
      <c r="P8" s="229"/>
      <c r="Q8" s="230"/>
      <c r="R8" s="68"/>
      <c r="S8" s="96"/>
    </row>
    <row r="9" spans="2:19" ht="18.75" customHeight="1">
      <c r="B9" s="150"/>
      <c r="C9" s="138" t="s">
        <v>20</v>
      </c>
      <c r="D9" s="147" t="s">
        <v>790</v>
      </c>
      <c r="E9" s="148"/>
      <c r="F9" s="111">
        <v>2</v>
      </c>
      <c r="G9" s="147" t="s">
        <v>756</v>
      </c>
      <c r="H9" s="148"/>
      <c r="I9" s="111">
        <v>1</v>
      </c>
      <c r="J9" s="147" t="s">
        <v>789</v>
      </c>
      <c r="K9" s="148"/>
      <c r="L9" s="111">
        <v>1</v>
      </c>
      <c r="M9" s="183"/>
      <c r="N9" s="184"/>
      <c r="O9" s="94"/>
      <c r="P9" s="226"/>
      <c r="Q9" s="227"/>
      <c r="R9" s="94"/>
      <c r="S9" s="11"/>
    </row>
    <row r="10" spans="2:19" ht="18.75" customHeight="1">
      <c r="B10" s="150"/>
      <c r="C10" s="139"/>
      <c r="D10" s="147" t="s">
        <v>791</v>
      </c>
      <c r="E10" s="148"/>
      <c r="F10" s="111">
        <v>0.5</v>
      </c>
      <c r="G10" s="147" t="s">
        <v>792</v>
      </c>
      <c r="H10" s="148"/>
      <c r="I10" s="111">
        <v>2</v>
      </c>
      <c r="J10" s="147" t="s">
        <v>793</v>
      </c>
      <c r="K10" s="148"/>
      <c r="L10" s="111">
        <v>1</v>
      </c>
      <c r="M10" s="226"/>
      <c r="N10" s="227"/>
      <c r="O10" s="94"/>
      <c r="P10" s="226"/>
      <c r="Q10" s="227"/>
      <c r="R10" s="94"/>
      <c r="S10" s="11"/>
    </row>
    <row r="11" spans="2:19" ht="18.75" customHeight="1">
      <c r="B11" s="150"/>
      <c r="C11" s="139"/>
      <c r="D11" s="147" t="s">
        <v>794</v>
      </c>
      <c r="E11" s="148"/>
      <c r="F11" s="111">
        <v>1.5</v>
      </c>
      <c r="G11" s="147" t="s">
        <v>795</v>
      </c>
      <c r="H11" s="148"/>
      <c r="I11" s="111">
        <v>1</v>
      </c>
      <c r="J11" s="147" t="s">
        <v>796</v>
      </c>
      <c r="K11" s="148"/>
      <c r="L11" s="111">
        <v>2</v>
      </c>
      <c r="M11" s="183"/>
      <c r="N11" s="184"/>
      <c r="O11" s="66"/>
      <c r="P11" s="183"/>
      <c r="Q11" s="184"/>
      <c r="R11" s="94"/>
      <c r="S11" s="96"/>
    </row>
    <row r="12" spans="2:19" ht="18.75" customHeight="1">
      <c r="B12" s="150"/>
      <c r="C12" s="139"/>
      <c r="D12" s="183"/>
      <c r="E12" s="184"/>
      <c r="F12" s="111"/>
      <c r="G12" s="147"/>
      <c r="H12" s="148"/>
      <c r="I12" s="111"/>
      <c r="J12" s="183"/>
      <c r="K12" s="184"/>
      <c r="L12" s="111"/>
      <c r="M12" s="183"/>
      <c r="N12" s="184"/>
      <c r="O12" s="94"/>
      <c r="P12" s="183"/>
      <c r="Q12" s="184"/>
      <c r="R12" s="94"/>
      <c r="S12" s="96"/>
    </row>
    <row r="13" spans="2:19" ht="19.5" customHeight="1" thickBot="1">
      <c r="B13" s="150"/>
      <c r="C13" s="140"/>
      <c r="D13" s="178" t="s">
        <v>696</v>
      </c>
      <c r="E13" s="179"/>
      <c r="F13" s="59">
        <v>0.75</v>
      </c>
      <c r="G13" s="178" t="s">
        <v>696</v>
      </c>
      <c r="H13" s="179"/>
      <c r="I13" s="59">
        <v>0.75</v>
      </c>
      <c r="J13" s="178" t="s">
        <v>696</v>
      </c>
      <c r="K13" s="179"/>
      <c r="L13" s="114">
        <v>0.75</v>
      </c>
      <c r="M13" s="178"/>
      <c r="N13" s="228"/>
      <c r="O13" s="60"/>
      <c r="P13" s="178"/>
      <c r="Q13" s="228"/>
      <c r="R13" s="60"/>
    </row>
    <row r="14" spans="2:19" ht="19.5" thickBot="1">
      <c r="B14" s="151"/>
      <c r="C14" s="18" t="s">
        <v>76</v>
      </c>
      <c r="D14" s="17"/>
      <c r="E14" s="17"/>
      <c r="F14" s="18">
        <f>SUM(F4:F13)</f>
        <v>7.75</v>
      </c>
      <c r="G14" s="17"/>
      <c r="H14" s="17"/>
      <c r="I14" s="18">
        <f>SUM(I4:I13)</f>
        <v>7.75</v>
      </c>
      <c r="J14" s="17"/>
      <c r="K14" s="17"/>
      <c r="L14" s="18">
        <f>SUM(L4:L13)</f>
        <v>7.75</v>
      </c>
      <c r="M14" s="17"/>
      <c r="N14" s="17"/>
      <c r="O14" s="18">
        <f>SUM(O4:O13)</f>
        <v>0</v>
      </c>
      <c r="P14" s="17"/>
      <c r="Q14" s="17"/>
      <c r="R14" s="18">
        <f>SUM(R4:R13)</f>
        <v>0</v>
      </c>
    </row>
    <row r="15" spans="2:19" ht="18.75" customHeight="1">
      <c r="B15" s="149" t="s">
        <v>65</v>
      </c>
      <c r="C15" s="138" t="s">
        <v>9</v>
      </c>
      <c r="D15" s="152" t="s">
        <v>772</v>
      </c>
      <c r="E15" s="153"/>
      <c r="F15" s="6">
        <v>0.5</v>
      </c>
      <c r="G15" s="216" t="s">
        <v>697</v>
      </c>
      <c r="H15" s="163"/>
      <c r="I15" s="6">
        <v>2</v>
      </c>
      <c r="J15" s="154" t="s">
        <v>499</v>
      </c>
      <c r="K15" s="155"/>
      <c r="L15" s="6">
        <v>1.5</v>
      </c>
      <c r="M15" s="154" t="s">
        <v>697</v>
      </c>
      <c r="N15" s="155"/>
      <c r="O15" s="6">
        <v>1.5</v>
      </c>
      <c r="P15" s="156" t="s">
        <v>671</v>
      </c>
      <c r="Q15" s="153"/>
      <c r="R15" s="6">
        <v>0.5</v>
      </c>
    </row>
    <row r="16" spans="2:19" ht="18.75" customHeight="1">
      <c r="B16" s="150"/>
      <c r="C16" s="139"/>
      <c r="D16" s="157" t="s">
        <v>741</v>
      </c>
      <c r="E16" s="155"/>
      <c r="F16" s="7">
        <v>1.5</v>
      </c>
      <c r="G16" s="154" t="s">
        <v>774</v>
      </c>
      <c r="H16" s="155"/>
      <c r="I16" s="7">
        <v>1.5</v>
      </c>
      <c r="J16" s="154" t="s">
        <v>761</v>
      </c>
      <c r="K16" s="155"/>
      <c r="L16" s="7">
        <v>1.5</v>
      </c>
      <c r="M16" s="154" t="s">
        <v>773</v>
      </c>
      <c r="N16" s="155"/>
      <c r="O16" s="7">
        <v>1.5</v>
      </c>
      <c r="P16" s="154" t="s">
        <v>667</v>
      </c>
      <c r="Q16" s="155"/>
      <c r="R16" s="7">
        <v>0.5</v>
      </c>
    </row>
    <row r="17" spans="2:18" ht="18.75" customHeight="1">
      <c r="B17" s="150"/>
      <c r="C17" s="139"/>
      <c r="D17" s="157"/>
      <c r="E17" s="155"/>
      <c r="F17" s="7"/>
      <c r="G17" s="216"/>
      <c r="H17" s="163"/>
      <c r="I17" s="7"/>
      <c r="J17" s="154" t="s">
        <v>767</v>
      </c>
      <c r="K17" s="155"/>
      <c r="L17" s="7">
        <v>1</v>
      </c>
      <c r="M17" s="154"/>
      <c r="N17" s="155"/>
      <c r="O17" s="7"/>
      <c r="P17" s="154" t="s">
        <v>775</v>
      </c>
      <c r="Q17" s="155"/>
      <c r="R17" s="7">
        <v>1.5</v>
      </c>
    </row>
    <row r="18" spans="2:18" ht="18.75" customHeight="1">
      <c r="B18" s="150"/>
      <c r="C18" s="139"/>
      <c r="D18" s="221"/>
      <c r="E18" s="222"/>
      <c r="F18" s="7"/>
      <c r="G18" s="154"/>
      <c r="H18" s="155"/>
      <c r="I18" s="12"/>
      <c r="J18" s="154"/>
      <c r="K18" s="155"/>
      <c r="L18" s="12"/>
      <c r="M18" s="154"/>
      <c r="N18" s="155"/>
      <c r="O18" s="12"/>
      <c r="P18" s="154" t="s">
        <v>782</v>
      </c>
      <c r="Q18" s="155"/>
      <c r="R18" s="12">
        <v>1</v>
      </c>
    </row>
    <row r="19" spans="2:18" ht="19.5" customHeight="1" thickBot="1">
      <c r="B19" s="150"/>
      <c r="C19" s="140"/>
      <c r="D19" s="158"/>
      <c r="E19" s="159"/>
      <c r="F19" s="9"/>
      <c r="G19" s="161"/>
      <c r="H19" s="159"/>
      <c r="I19" s="9"/>
      <c r="J19" s="161"/>
      <c r="K19" s="159"/>
      <c r="L19" s="9"/>
      <c r="M19" s="161"/>
      <c r="N19" s="159"/>
      <c r="O19" s="9"/>
      <c r="P19" s="161"/>
      <c r="Q19" s="159"/>
      <c r="R19" s="9"/>
    </row>
    <row r="20" spans="2:18" ht="18.75" customHeight="1">
      <c r="B20" s="150"/>
      <c r="C20" s="138" t="s">
        <v>20</v>
      </c>
      <c r="D20" s="152" t="s">
        <v>776</v>
      </c>
      <c r="E20" s="153"/>
      <c r="F20" s="6">
        <v>1.5</v>
      </c>
      <c r="G20" s="154" t="s">
        <v>777</v>
      </c>
      <c r="H20" s="155"/>
      <c r="I20" s="7">
        <v>1.5</v>
      </c>
      <c r="J20" s="154" t="s">
        <v>671</v>
      </c>
      <c r="K20" s="155"/>
      <c r="L20" s="7">
        <v>0.5</v>
      </c>
      <c r="M20" s="154" t="s">
        <v>778</v>
      </c>
      <c r="N20" s="155"/>
      <c r="O20" s="7">
        <v>1.5</v>
      </c>
      <c r="P20" s="154" t="s">
        <v>779</v>
      </c>
      <c r="Q20" s="155"/>
      <c r="R20" s="7">
        <v>1</v>
      </c>
    </row>
    <row r="21" spans="2:18" ht="18.75" customHeight="1">
      <c r="B21" s="150"/>
      <c r="C21" s="139"/>
      <c r="D21" s="157" t="s">
        <v>780</v>
      </c>
      <c r="E21" s="155"/>
      <c r="F21" s="7">
        <v>1.5</v>
      </c>
      <c r="G21" s="216" t="s">
        <v>781</v>
      </c>
      <c r="H21" s="163"/>
      <c r="I21" s="7">
        <v>0.5</v>
      </c>
      <c r="J21" s="154" t="s">
        <v>746</v>
      </c>
      <c r="K21" s="155"/>
      <c r="L21" s="7">
        <v>1</v>
      </c>
      <c r="M21" s="154" t="s">
        <v>703</v>
      </c>
      <c r="N21" s="155"/>
      <c r="O21" s="7">
        <v>0.5</v>
      </c>
      <c r="P21" s="154" t="s">
        <v>783</v>
      </c>
      <c r="Q21" s="155"/>
      <c r="R21" s="7">
        <v>2</v>
      </c>
    </row>
    <row r="22" spans="2:18" ht="18.75" customHeight="1">
      <c r="B22" s="150"/>
      <c r="C22" s="139"/>
      <c r="D22" s="157" t="s">
        <v>770</v>
      </c>
      <c r="E22" s="155"/>
      <c r="F22" s="7">
        <v>0.5</v>
      </c>
      <c r="G22" s="216" t="s">
        <v>770</v>
      </c>
      <c r="H22" s="163"/>
      <c r="I22" s="7">
        <v>0.5</v>
      </c>
      <c r="J22" s="154" t="s">
        <v>770</v>
      </c>
      <c r="K22" s="155"/>
      <c r="L22" s="7">
        <v>0.5</v>
      </c>
      <c r="M22" s="154" t="s">
        <v>770</v>
      </c>
      <c r="N22" s="155"/>
      <c r="O22" s="7">
        <v>0.5</v>
      </c>
      <c r="P22" s="154" t="s">
        <v>771</v>
      </c>
      <c r="Q22" s="155"/>
      <c r="R22" s="7">
        <v>0.5</v>
      </c>
    </row>
    <row r="23" spans="2:18" ht="18.75" customHeight="1">
      <c r="B23" s="150"/>
      <c r="C23" s="139"/>
      <c r="D23" s="157" t="s">
        <v>784</v>
      </c>
      <c r="E23" s="155"/>
      <c r="F23" s="7">
        <v>0.5</v>
      </c>
      <c r="G23" s="154"/>
      <c r="H23" s="155"/>
      <c r="I23" s="7"/>
      <c r="J23" s="154"/>
      <c r="K23" s="155"/>
      <c r="L23" s="7"/>
      <c r="M23" s="154" t="s">
        <v>765</v>
      </c>
      <c r="N23" s="155"/>
      <c r="O23" s="7">
        <v>1.5</v>
      </c>
      <c r="P23" s="154"/>
      <c r="Q23" s="155"/>
      <c r="R23" s="7"/>
    </row>
    <row r="24" spans="2:18" ht="19.5" customHeight="1" thickBot="1">
      <c r="B24" s="150"/>
      <c r="C24" s="140"/>
      <c r="D24" s="157" t="s">
        <v>110</v>
      </c>
      <c r="E24" s="155"/>
      <c r="F24" s="7"/>
      <c r="G24" s="161" t="s">
        <v>110</v>
      </c>
      <c r="H24" s="159"/>
      <c r="I24" s="9"/>
      <c r="J24" s="161" t="s">
        <v>110</v>
      </c>
      <c r="K24" s="159"/>
      <c r="L24" s="9"/>
      <c r="M24" s="161" t="s">
        <v>110</v>
      </c>
      <c r="N24" s="159"/>
      <c r="O24" s="9"/>
      <c r="P24" s="161" t="s">
        <v>110</v>
      </c>
      <c r="Q24" s="159"/>
      <c r="R24" s="9"/>
    </row>
    <row r="25" spans="2:18" ht="19.5" thickBot="1">
      <c r="B25" s="151"/>
      <c r="C25" s="18" t="s">
        <v>76</v>
      </c>
      <c r="D25" s="17"/>
      <c r="E25" s="17"/>
      <c r="F25" s="18">
        <f>SUM(F15:F24)</f>
        <v>6</v>
      </c>
      <c r="G25" s="17"/>
      <c r="H25" s="17"/>
      <c r="I25" s="18">
        <f>SUM(I15:I24)</f>
        <v>6</v>
      </c>
      <c r="J25" s="17"/>
      <c r="K25" s="17"/>
      <c r="L25" s="18">
        <f>SUM(L15:L24)</f>
        <v>6</v>
      </c>
      <c r="M25" s="17"/>
      <c r="N25" s="17"/>
      <c r="O25" s="18">
        <f>SUM(O15:O24)</f>
        <v>7</v>
      </c>
      <c r="P25" s="17"/>
      <c r="Q25" s="17"/>
      <c r="R25" s="18">
        <f>SUM(R15:R24)</f>
        <v>7</v>
      </c>
    </row>
  </sheetData>
  <mergeCells count="124">
    <mergeCell ref="D24:E24"/>
    <mergeCell ref="G24:H24"/>
    <mergeCell ref="J24:K24"/>
    <mergeCell ref="M24:N24"/>
    <mergeCell ref="P24:Q24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  <mergeCell ref="D18:E18"/>
    <mergeCell ref="G18:H18"/>
    <mergeCell ref="J18:K18"/>
    <mergeCell ref="M18:N18"/>
    <mergeCell ref="P18:Q18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M13:N13"/>
    <mergeCell ref="P13:Q13"/>
    <mergeCell ref="P15:Q15"/>
    <mergeCell ref="D16:E16"/>
    <mergeCell ref="G16:H16"/>
    <mergeCell ref="J16:K16"/>
    <mergeCell ref="M16:N16"/>
    <mergeCell ref="P16:Q16"/>
    <mergeCell ref="B15:B25"/>
    <mergeCell ref="C15:C19"/>
    <mergeCell ref="D15:E15"/>
    <mergeCell ref="G15:H15"/>
    <mergeCell ref="J15:K15"/>
    <mergeCell ref="M15:N15"/>
    <mergeCell ref="D17:E17"/>
    <mergeCell ref="G17:H17"/>
    <mergeCell ref="J17:K17"/>
    <mergeCell ref="M17:N17"/>
    <mergeCell ref="C20:C24"/>
    <mergeCell ref="D20:E20"/>
    <mergeCell ref="G20:H20"/>
    <mergeCell ref="J20:K20"/>
    <mergeCell ref="M20:N20"/>
    <mergeCell ref="P17:Q17"/>
    <mergeCell ref="P10:Q10"/>
    <mergeCell ref="D11:E11"/>
    <mergeCell ref="G11:H11"/>
    <mergeCell ref="J11:K11"/>
    <mergeCell ref="M11:N11"/>
    <mergeCell ref="P11:Q11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2:E12"/>
    <mergeCell ref="G12:H12"/>
    <mergeCell ref="J12:K12"/>
    <mergeCell ref="M12:N12"/>
    <mergeCell ref="P12:Q12"/>
    <mergeCell ref="D13:E13"/>
    <mergeCell ref="G13:H13"/>
    <mergeCell ref="J13:K13"/>
    <mergeCell ref="D7:E7"/>
    <mergeCell ref="G7:H7"/>
    <mergeCell ref="J7:K7"/>
    <mergeCell ref="M7:N7"/>
    <mergeCell ref="P7:Q7"/>
    <mergeCell ref="D8:E8"/>
    <mergeCell ref="G8:H8"/>
    <mergeCell ref="J8:K8"/>
    <mergeCell ref="M8:N8"/>
    <mergeCell ref="P8:Q8"/>
    <mergeCell ref="R2:R3"/>
    <mergeCell ref="B4:B14"/>
    <mergeCell ref="C4:C8"/>
    <mergeCell ref="D4:E4"/>
    <mergeCell ref="G4:H4"/>
    <mergeCell ref="J4:K4"/>
    <mergeCell ref="M4:N4"/>
    <mergeCell ref="P4:Q4"/>
    <mergeCell ref="D5:E5"/>
    <mergeCell ref="K2:K3"/>
    <mergeCell ref="L2:L3"/>
    <mergeCell ref="M2:M3"/>
    <mergeCell ref="N2:N3"/>
    <mergeCell ref="O2:O3"/>
    <mergeCell ref="P2:P3"/>
    <mergeCell ref="G5:H5"/>
    <mergeCell ref="J5:K5"/>
    <mergeCell ref="M5:N5"/>
    <mergeCell ref="P5:Q5"/>
    <mergeCell ref="D6:E6"/>
    <mergeCell ref="G6:H6"/>
    <mergeCell ref="J6:K6"/>
    <mergeCell ref="M6:N6"/>
    <mergeCell ref="P6:Q6"/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  <mergeCell ref="Q2:Q3"/>
  </mergeCells>
  <phoneticPr fontId="1"/>
  <pageMargins left="0.7" right="0.7" top="0.75" bottom="0.75" header="0.3" footer="0.3"/>
  <pageSetup paperSize="8" scale="68" orientation="landscape" horizontalDpi="1200" verticalDpi="120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4E256-B821-4C26-A7B4-B9A1EEE8A333}">
  <sheetPr codeName="Sheet13">
    <pageSetUpPr fitToPage="1"/>
  </sheetPr>
  <dimension ref="B1:S25"/>
  <sheetViews>
    <sheetView view="pageBreakPreview" topLeftCell="A7" zoomScale="85" zoomScaleNormal="70" zoomScaleSheetLayoutView="85" workbookViewId="0">
      <selection activeCell="G18" sqref="G18:H18"/>
    </sheetView>
  </sheetViews>
  <sheetFormatPr defaultRowHeight="18.75"/>
  <cols>
    <col min="1" max="1" width="2.5" customWidth="1"/>
    <col min="4" max="18" width="16" customWidth="1"/>
  </cols>
  <sheetData>
    <row r="1" spans="2:19" ht="24.75" thickBot="1">
      <c r="D1" s="53">
        <v>45740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19" s="5" customFormat="1">
      <c r="B2" s="201"/>
      <c r="C2" s="202"/>
      <c r="D2" s="205">
        <f>D1</f>
        <v>45740</v>
      </c>
      <c r="E2" s="195" t="s">
        <v>3</v>
      </c>
      <c r="F2" s="191" t="s">
        <v>4</v>
      </c>
      <c r="G2" s="197">
        <f>D2+1</f>
        <v>45741</v>
      </c>
      <c r="H2" s="195" t="s">
        <v>5</v>
      </c>
      <c r="I2" s="191" t="s">
        <v>4</v>
      </c>
      <c r="J2" s="197">
        <f>G2+1</f>
        <v>45742</v>
      </c>
      <c r="K2" s="195" t="s">
        <v>6</v>
      </c>
      <c r="L2" s="191" t="s">
        <v>4</v>
      </c>
      <c r="M2" s="197">
        <f>J2+1</f>
        <v>45743</v>
      </c>
      <c r="N2" s="195" t="s">
        <v>7</v>
      </c>
      <c r="O2" s="191" t="s">
        <v>4</v>
      </c>
      <c r="P2" s="197">
        <f>M2+1</f>
        <v>45744</v>
      </c>
      <c r="Q2" s="195" t="s">
        <v>8</v>
      </c>
      <c r="R2" s="191" t="s">
        <v>4</v>
      </c>
    </row>
    <row r="3" spans="2:19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19" ht="18.75" customHeight="1">
      <c r="B4" s="149" t="s">
        <v>32</v>
      </c>
      <c r="C4" s="138" t="s">
        <v>9</v>
      </c>
      <c r="D4" s="258" t="s">
        <v>551</v>
      </c>
      <c r="E4" s="194"/>
      <c r="F4" s="75">
        <v>0.45</v>
      </c>
      <c r="G4" s="193" t="s">
        <v>166</v>
      </c>
      <c r="H4" s="194"/>
      <c r="I4" s="75">
        <v>0.45</v>
      </c>
      <c r="J4" s="193" t="s">
        <v>166</v>
      </c>
      <c r="K4" s="194"/>
      <c r="L4" s="75">
        <v>0.45</v>
      </c>
      <c r="M4" s="193" t="s">
        <v>166</v>
      </c>
      <c r="N4" s="194"/>
      <c r="O4" s="75">
        <v>0.45</v>
      </c>
      <c r="P4" s="258" t="s">
        <v>166</v>
      </c>
      <c r="Q4" s="194"/>
      <c r="R4" s="75">
        <v>0.45</v>
      </c>
      <c r="S4" s="95"/>
    </row>
    <row r="5" spans="2:19">
      <c r="B5" s="150"/>
      <c r="C5" s="139"/>
      <c r="D5" s="233" t="s">
        <v>675</v>
      </c>
      <c r="E5" s="184"/>
      <c r="F5" s="32">
        <v>0.05</v>
      </c>
      <c r="G5" s="183" t="s">
        <v>676</v>
      </c>
      <c r="H5" s="184"/>
      <c r="I5" s="32">
        <v>0.05</v>
      </c>
      <c r="J5" s="183" t="s">
        <v>677</v>
      </c>
      <c r="K5" s="184"/>
      <c r="L5" s="32">
        <v>0.05</v>
      </c>
      <c r="M5" s="183" t="s">
        <v>678</v>
      </c>
      <c r="N5" s="184"/>
      <c r="O5" s="32">
        <v>0.05</v>
      </c>
      <c r="P5" s="183" t="s">
        <v>679</v>
      </c>
      <c r="Q5" s="184"/>
      <c r="R5" s="32">
        <v>0.05</v>
      </c>
      <c r="S5" s="95"/>
    </row>
    <row r="6" spans="2:19">
      <c r="B6" s="150"/>
      <c r="C6" s="139"/>
      <c r="D6" s="147" t="s">
        <v>747</v>
      </c>
      <c r="E6" s="148"/>
      <c r="F6" s="111">
        <v>2.5</v>
      </c>
      <c r="G6" s="147" t="s">
        <v>747</v>
      </c>
      <c r="H6" s="148"/>
      <c r="I6" s="111">
        <v>2.5</v>
      </c>
      <c r="J6" s="147" t="s">
        <v>747</v>
      </c>
      <c r="K6" s="148"/>
      <c r="L6" s="111">
        <v>2</v>
      </c>
      <c r="M6" s="147" t="s">
        <v>748</v>
      </c>
      <c r="N6" s="148"/>
      <c r="O6" s="111">
        <v>2.5</v>
      </c>
      <c r="P6" s="183" t="s">
        <v>682</v>
      </c>
      <c r="Q6" s="184"/>
      <c r="R6" s="113">
        <v>1</v>
      </c>
      <c r="S6" s="95"/>
    </row>
    <row r="7" spans="2:19">
      <c r="B7" s="150"/>
      <c r="C7" s="139"/>
      <c r="D7" s="188"/>
      <c r="E7" s="148"/>
      <c r="F7" s="111"/>
      <c r="G7" s="188"/>
      <c r="H7" s="148"/>
      <c r="I7" s="111"/>
      <c r="J7" s="188" t="s">
        <v>749</v>
      </c>
      <c r="K7" s="148"/>
      <c r="L7" s="111">
        <v>0.5</v>
      </c>
      <c r="M7" s="147"/>
      <c r="N7" s="148"/>
      <c r="O7" s="111"/>
      <c r="P7" s="147" t="s">
        <v>748</v>
      </c>
      <c r="Q7" s="148"/>
      <c r="R7" s="111">
        <v>1.5</v>
      </c>
      <c r="S7" s="8"/>
    </row>
    <row r="8" spans="2:19" ht="19.5" thickBot="1">
      <c r="B8" s="150"/>
      <c r="C8" s="140"/>
      <c r="D8" s="189"/>
      <c r="E8" s="190"/>
      <c r="F8" s="112"/>
      <c r="G8" s="239" t="s">
        <v>685</v>
      </c>
      <c r="H8" s="279"/>
      <c r="I8" s="112">
        <v>0.25</v>
      </c>
      <c r="J8" s="189"/>
      <c r="K8" s="190"/>
      <c r="L8" s="112"/>
      <c r="M8" s="239" t="s">
        <v>750</v>
      </c>
      <c r="N8" s="279"/>
      <c r="O8" s="112">
        <v>0.5</v>
      </c>
      <c r="P8" s="189"/>
      <c r="Q8" s="190"/>
      <c r="R8" s="112"/>
      <c r="S8" s="96"/>
    </row>
    <row r="9" spans="2:19" ht="18.75" customHeight="1">
      <c r="B9" s="150"/>
      <c r="C9" s="138" t="s">
        <v>20</v>
      </c>
      <c r="D9" s="147" t="s">
        <v>747</v>
      </c>
      <c r="E9" s="148"/>
      <c r="F9" s="111">
        <v>1.5</v>
      </c>
      <c r="G9" s="183" t="s">
        <v>751</v>
      </c>
      <c r="H9" s="184"/>
      <c r="I9" s="111">
        <v>2.5</v>
      </c>
      <c r="J9" s="147" t="s">
        <v>752</v>
      </c>
      <c r="K9" s="148"/>
      <c r="L9" s="111">
        <v>1.5</v>
      </c>
      <c r="M9" s="147" t="s">
        <v>753</v>
      </c>
      <c r="N9" s="148"/>
      <c r="O9" s="111">
        <v>2.25</v>
      </c>
      <c r="P9" s="183" t="s">
        <v>751</v>
      </c>
      <c r="Q9" s="184"/>
      <c r="R9" s="111">
        <v>2.5</v>
      </c>
      <c r="S9" s="11"/>
    </row>
    <row r="10" spans="2:19" ht="18.75" customHeight="1">
      <c r="B10" s="150"/>
      <c r="C10" s="139"/>
      <c r="D10" s="147" t="s">
        <v>753</v>
      </c>
      <c r="E10" s="148"/>
      <c r="F10" s="111">
        <v>2.5</v>
      </c>
      <c r="G10" s="147" t="s">
        <v>754</v>
      </c>
      <c r="H10" s="148"/>
      <c r="I10" s="111">
        <v>1.25</v>
      </c>
      <c r="J10" s="147" t="s">
        <v>755</v>
      </c>
      <c r="K10" s="148"/>
      <c r="L10" s="111">
        <v>2.5</v>
      </c>
      <c r="M10" s="233" t="s">
        <v>756</v>
      </c>
      <c r="N10" s="184"/>
      <c r="O10" s="111">
        <v>0.5</v>
      </c>
      <c r="P10" s="183" t="s">
        <v>757</v>
      </c>
      <c r="Q10" s="184"/>
      <c r="R10" s="111">
        <v>0.5</v>
      </c>
      <c r="S10" s="11"/>
    </row>
    <row r="11" spans="2:19" ht="18.75" customHeight="1">
      <c r="B11" s="150"/>
      <c r="C11" s="139"/>
      <c r="D11" s="183"/>
      <c r="E11" s="184"/>
      <c r="F11" s="111"/>
      <c r="G11" s="147"/>
      <c r="H11" s="148"/>
      <c r="I11" s="111"/>
      <c r="J11" s="147"/>
      <c r="K11" s="148"/>
      <c r="L11" s="111"/>
      <c r="M11" s="233" t="s">
        <v>758</v>
      </c>
      <c r="N11" s="184"/>
      <c r="O11" s="111">
        <v>0.5</v>
      </c>
      <c r="P11" s="147" t="s">
        <v>753</v>
      </c>
      <c r="Q11" s="148"/>
      <c r="R11" s="111">
        <v>1</v>
      </c>
      <c r="S11" s="96"/>
    </row>
    <row r="12" spans="2:19" ht="18.75" customHeight="1">
      <c r="B12" s="150"/>
      <c r="C12" s="139"/>
      <c r="D12" s="183"/>
      <c r="E12" s="184"/>
      <c r="F12" s="111"/>
      <c r="G12" s="183"/>
      <c r="H12" s="184"/>
      <c r="I12" s="111"/>
      <c r="J12" s="183"/>
      <c r="K12" s="184"/>
      <c r="L12" s="111"/>
      <c r="M12" s="183" t="s">
        <v>682</v>
      </c>
      <c r="N12" s="184"/>
      <c r="O12" s="113">
        <v>1</v>
      </c>
      <c r="P12" s="183"/>
      <c r="Q12" s="184"/>
      <c r="R12" s="111"/>
      <c r="S12" s="96"/>
    </row>
    <row r="13" spans="2:19" ht="19.5" customHeight="1" thickBot="1">
      <c r="B13" s="150"/>
      <c r="C13" s="140"/>
      <c r="D13" s="178" t="s">
        <v>696</v>
      </c>
      <c r="E13" s="179"/>
      <c r="F13" s="59">
        <v>0.75</v>
      </c>
      <c r="G13" s="178" t="s">
        <v>696</v>
      </c>
      <c r="H13" s="179"/>
      <c r="I13" s="59">
        <v>0.75</v>
      </c>
      <c r="J13" s="178" t="s">
        <v>696</v>
      </c>
      <c r="K13" s="179"/>
      <c r="L13" s="114">
        <v>0.75</v>
      </c>
      <c r="M13" s="178" t="s">
        <v>696</v>
      </c>
      <c r="N13" s="179"/>
      <c r="O13" s="59"/>
      <c r="P13" s="178" t="s">
        <v>696</v>
      </c>
      <c r="Q13" s="179"/>
      <c r="R13" s="59">
        <v>0.75</v>
      </c>
    </row>
    <row r="14" spans="2:19" ht="19.5" thickBot="1">
      <c r="B14" s="151"/>
      <c r="C14" s="18" t="s">
        <v>76</v>
      </c>
      <c r="D14" s="17"/>
      <c r="E14" s="17"/>
      <c r="F14" s="18">
        <f>SUM(F4:F13)</f>
        <v>7.75</v>
      </c>
      <c r="G14" s="17"/>
      <c r="H14" s="17"/>
      <c r="I14" s="18">
        <f>SUM(I4:I13)</f>
        <v>7.75</v>
      </c>
      <c r="J14" s="17"/>
      <c r="K14" s="17"/>
      <c r="L14" s="18">
        <f>SUM(L4:L13)</f>
        <v>7.75</v>
      </c>
      <c r="M14" s="17"/>
      <c r="N14" s="17"/>
      <c r="O14" s="18">
        <f>SUM(O4:O13)</f>
        <v>7.75</v>
      </c>
      <c r="P14" s="17"/>
      <c r="Q14" s="17"/>
      <c r="R14" s="18">
        <f>SUM(R4:R13)</f>
        <v>7.75</v>
      </c>
    </row>
    <row r="15" spans="2:19" ht="18.75" customHeight="1">
      <c r="B15" s="149" t="s">
        <v>65</v>
      </c>
      <c r="C15" s="138" t="s">
        <v>9</v>
      </c>
      <c r="D15" s="152" t="s">
        <v>697</v>
      </c>
      <c r="E15" s="153"/>
      <c r="F15" s="6">
        <v>1.5</v>
      </c>
      <c r="G15" s="216"/>
      <c r="H15" s="163"/>
      <c r="I15" s="6"/>
      <c r="J15" s="154" t="s">
        <v>759</v>
      </c>
      <c r="K15" s="155"/>
      <c r="L15" s="6">
        <v>1</v>
      </c>
      <c r="M15" s="154" t="s">
        <v>760</v>
      </c>
      <c r="N15" s="155"/>
      <c r="O15" s="6">
        <v>1</v>
      </c>
      <c r="P15" s="156" t="s">
        <v>671</v>
      </c>
      <c r="Q15" s="153"/>
      <c r="R15" s="6">
        <v>0.25</v>
      </c>
    </row>
    <row r="16" spans="2:19" ht="18.75" customHeight="1">
      <c r="B16" s="150"/>
      <c r="C16" s="139"/>
      <c r="D16" s="157" t="s">
        <v>761</v>
      </c>
      <c r="E16" s="155"/>
      <c r="F16" s="7">
        <v>1</v>
      </c>
      <c r="G16" s="154"/>
      <c r="H16" s="155"/>
      <c r="I16" s="7"/>
      <c r="J16" s="154" t="s">
        <v>762</v>
      </c>
      <c r="K16" s="155"/>
      <c r="L16" s="7">
        <v>2</v>
      </c>
      <c r="M16" s="154" t="s">
        <v>697</v>
      </c>
      <c r="N16" s="155"/>
      <c r="O16" s="7">
        <v>2</v>
      </c>
      <c r="P16" s="154" t="s">
        <v>667</v>
      </c>
      <c r="Q16" s="155"/>
      <c r="R16" s="7">
        <v>0.5</v>
      </c>
    </row>
    <row r="17" spans="2:18" ht="18.75" customHeight="1">
      <c r="B17" s="150"/>
      <c r="C17" s="139"/>
      <c r="D17" s="157" t="s">
        <v>699</v>
      </c>
      <c r="E17" s="155"/>
      <c r="F17" s="7">
        <v>0.75</v>
      </c>
      <c r="G17" s="216" t="s">
        <v>763</v>
      </c>
      <c r="H17" s="163"/>
      <c r="I17" s="7"/>
      <c r="J17" s="154"/>
      <c r="K17" s="155"/>
      <c r="L17" s="7"/>
      <c r="M17" s="154" t="s">
        <v>764</v>
      </c>
      <c r="N17" s="155"/>
      <c r="O17" s="7">
        <v>1</v>
      </c>
      <c r="P17" s="154" t="s">
        <v>765</v>
      </c>
      <c r="Q17" s="155"/>
      <c r="R17" s="7">
        <v>1</v>
      </c>
    </row>
    <row r="18" spans="2:18" ht="18.75" customHeight="1">
      <c r="B18" s="150"/>
      <c r="C18" s="139"/>
      <c r="D18" s="221"/>
      <c r="E18" s="222"/>
      <c r="F18" s="7"/>
      <c r="G18" s="154"/>
      <c r="H18" s="155"/>
      <c r="I18" s="12"/>
      <c r="J18" s="154"/>
      <c r="K18" s="155"/>
      <c r="L18" s="12"/>
      <c r="M18" s="154"/>
      <c r="N18" s="155"/>
      <c r="O18" s="12"/>
      <c r="P18" s="154" t="s">
        <v>697</v>
      </c>
      <c r="Q18" s="155"/>
      <c r="R18" s="12">
        <v>1.5</v>
      </c>
    </row>
    <row r="19" spans="2:18" ht="19.5" customHeight="1" thickBot="1">
      <c r="B19" s="150"/>
      <c r="C19" s="140"/>
      <c r="D19" s="158"/>
      <c r="E19" s="159"/>
      <c r="F19" s="9"/>
      <c r="G19" s="161"/>
      <c r="H19" s="159"/>
      <c r="I19" s="9"/>
      <c r="J19" s="161"/>
      <c r="K19" s="159"/>
      <c r="L19" s="9"/>
      <c r="M19" s="161"/>
      <c r="N19" s="159"/>
      <c r="O19" s="9"/>
      <c r="P19" s="161"/>
      <c r="Q19" s="159"/>
      <c r="R19" s="9"/>
    </row>
    <row r="20" spans="2:18" ht="18.75" customHeight="1">
      <c r="B20" s="150"/>
      <c r="C20" s="138" t="s">
        <v>20</v>
      </c>
      <c r="D20" s="152" t="s">
        <v>738</v>
      </c>
      <c r="E20" s="153"/>
      <c r="F20" s="6">
        <v>0.75</v>
      </c>
      <c r="G20" s="154" t="s">
        <v>766</v>
      </c>
      <c r="H20" s="155"/>
      <c r="I20" s="7">
        <v>0.5</v>
      </c>
      <c r="J20" s="154" t="s">
        <v>671</v>
      </c>
      <c r="K20" s="155"/>
      <c r="L20" s="7">
        <v>0.5</v>
      </c>
      <c r="M20" s="154"/>
      <c r="N20" s="155"/>
      <c r="O20" s="7"/>
      <c r="P20" s="154" t="s">
        <v>499</v>
      </c>
      <c r="Q20" s="155"/>
      <c r="R20" s="7">
        <v>1</v>
      </c>
    </row>
    <row r="21" spans="2:18" ht="18.75" customHeight="1">
      <c r="B21" s="150"/>
      <c r="C21" s="139"/>
      <c r="D21" s="157" t="s">
        <v>767</v>
      </c>
      <c r="E21" s="155"/>
      <c r="F21" s="7">
        <v>1</v>
      </c>
      <c r="G21" s="216" t="s">
        <v>762</v>
      </c>
      <c r="H21" s="163"/>
      <c r="I21" s="7">
        <v>2</v>
      </c>
      <c r="J21" s="154" t="s">
        <v>768</v>
      </c>
      <c r="K21" s="155"/>
      <c r="L21" s="7">
        <v>2</v>
      </c>
      <c r="M21" s="154"/>
      <c r="N21" s="155"/>
      <c r="O21" s="7"/>
      <c r="P21" s="154" t="s">
        <v>769</v>
      </c>
      <c r="Q21" s="155"/>
      <c r="R21" s="7">
        <v>1.25</v>
      </c>
    </row>
    <row r="22" spans="2:18" ht="18.75" customHeight="1">
      <c r="B22" s="150"/>
      <c r="C22" s="139"/>
      <c r="D22" s="157" t="s">
        <v>764</v>
      </c>
      <c r="E22" s="155"/>
      <c r="F22" s="7">
        <v>1.5</v>
      </c>
      <c r="G22" s="216" t="s">
        <v>764</v>
      </c>
      <c r="H22" s="163"/>
      <c r="I22" s="7">
        <v>1</v>
      </c>
      <c r="J22" s="154" t="s">
        <v>764</v>
      </c>
      <c r="K22" s="155"/>
      <c r="L22" s="7">
        <v>1</v>
      </c>
      <c r="M22" s="154" t="s">
        <v>763</v>
      </c>
      <c r="N22" s="155"/>
      <c r="O22" s="7"/>
      <c r="P22" s="154" t="s">
        <v>764</v>
      </c>
      <c r="Q22" s="155"/>
      <c r="R22" s="7">
        <v>1</v>
      </c>
    </row>
    <row r="23" spans="2:18" ht="18.75" customHeight="1">
      <c r="B23" s="150"/>
      <c r="C23" s="139"/>
      <c r="D23" s="157" t="s">
        <v>770</v>
      </c>
      <c r="E23" s="155"/>
      <c r="F23" s="7">
        <v>0.5</v>
      </c>
      <c r="G23" s="154" t="s">
        <v>770</v>
      </c>
      <c r="H23" s="155"/>
      <c r="I23" s="7">
        <v>0.5</v>
      </c>
      <c r="J23" s="154" t="s">
        <v>770</v>
      </c>
      <c r="K23" s="155"/>
      <c r="L23" s="7">
        <v>0.5</v>
      </c>
      <c r="M23" s="154"/>
      <c r="N23" s="155"/>
      <c r="O23" s="7"/>
      <c r="P23" s="154" t="s">
        <v>771</v>
      </c>
      <c r="Q23" s="155"/>
      <c r="R23" s="7">
        <v>0.5</v>
      </c>
    </row>
    <row r="24" spans="2:18" ht="19.5" customHeight="1" thickBot="1">
      <c r="B24" s="150"/>
      <c r="C24" s="140"/>
      <c r="D24" s="157" t="s">
        <v>110</v>
      </c>
      <c r="E24" s="155"/>
      <c r="F24" s="7"/>
      <c r="G24" s="161" t="s">
        <v>110</v>
      </c>
      <c r="H24" s="159"/>
      <c r="I24" s="9"/>
      <c r="J24" s="161" t="s">
        <v>110</v>
      </c>
      <c r="K24" s="159"/>
      <c r="L24" s="9"/>
      <c r="M24" s="161" t="s">
        <v>110</v>
      </c>
      <c r="N24" s="159"/>
      <c r="O24" s="9"/>
      <c r="P24" s="161" t="s">
        <v>110</v>
      </c>
      <c r="Q24" s="159"/>
      <c r="R24" s="9"/>
    </row>
    <row r="25" spans="2:18" ht="19.5" thickBot="1">
      <c r="B25" s="151"/>
      <c r="C25" s="18" t="s">
        <v>76</v>
      </c>
      <c r="D25" s="17"/>
      <c r="E25" s="17"/>
      <c r="F25" s="18">
        <f>SUM(F15:F24)</f>
        <v>7</v>
      </c>
      <c r="G25" s="17"/>
      <c r="H25" s="17"/>
      <c r="I25" s="18">
        <f>SUM(I15:I24)</f>
        <v>4</v>
      </c>
      <c r="J25" s="17"/>
      <c r="K25" s="17"/>
      <c r="L25" s="18">
        <f>SUM(L15:L24)</f>
        <v>7</v>
      </c>
      <c r="M25" s="17"/>
      <c r="N25" s="17"/>
      <c r="O25" s="18">
        <f>SUM(O15:O24)</f>
        <v>4</v>
      </c>
      <c r="P25" s="17"/>
      <c r="Q25" s="17"/>
      <c r="R25" s="18">
        <f>SUM(R15:R24)</f>
        <v>7</v>
      </c>
    </row>
  </sheetData>
  <mergeCells count="124"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  <mergeCell ref="Q2:Q3"/>
    <mergeCell ref="R2:R3"/>
    <mergeCell ref="B4:B14"/>
    <mergeCell ref="C4:C8"/>
    <mergeCell ref="D4:E4"/>
    <mergeCell ref="G4:H4"/>
    <mergeCell ref="J4:K4"/>
    <mergeCell ref="M4:N4"/>
    <mergeCell ref="P4:Q4"/>
    <mergeCell ref="D5:E5"/>
    <mergeCell ref="K2:K3"/>
    <mergeCell ref="L2:L3"/>
    <mergeCell ref="M2:M3"/>
    <mergeCell ref="N2:N3"/>
    <mergeCell ref="O2:O3"/>
    <mergeCell ref="P2:P3"/>
    <mergeCell ref="G5:H5"/>
    <mergeCell ref="J5:K5"/>
    <mergeCell ref="M5:N5"/>
    <mergeCell ref="P5:Q5"/>
    <mergeCell ref="D6:E6"/>
    <mergeCell ref="G6:H6"/>
    <mergeCell ref="J6:K6"/>
    <mergeCell ref="M6:N6"/>
    <mergeCell ref="P6:Q6"/>
    <mergeCell ref="D7:E7"/>
    <mergeCell ref="G7:H7"/>
    <mergeCell ref="J7:K7"/>
    <mergeCell ref="M7:N7"/>
    <mergeCell ref="P7:Q7"/>
    <mergeCell ref="D8:E8"/>
    <mergeCell ref="G8:H8"/>
    <mergeCell ref="J8:K8"/>
    <mergeCell ref="M8:N8"/>
    <mergeCell ref="P8:Q8"/>
    <mergeCell ref="P10:Q10"/>
    <mergeCell ref="D11:E11"/>
    <mergeCell ref="G11:H11"/>
    <mergeCell ref="J11:K11"/>
    <mergeCell ref="M11:N11"/>
    <mergeCell ref="P11:Q11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2:E12"/>
    <mergeCell ref="G12:H12"/>
    <mergeCell ref="J12:K12"/>
    <mergeCell ref="M12:N12"/>
    <mergeCell ref="P12:Q12"/>
    <mergeCell ref="D13:E13"/>
    <mergeCell ref="G13:H13"/>
    <mergeCell ref="J13:K13"/>
    <mergeCell ref="M13:N13"/>
    <mergeCell ref="P13:Q13"/>
    <mergeCell ref="P15:Q15"/>
    <mergeCell ref="D16:E16"/>
    <mergeCell ref="G16:H16"/>
    <mergeCell ref="J16:K16"/>
    <mergeCell ref="M16:N16"/>
    <mergeCell ref="P16:Q16"/>
    <mergeCell ref="B15:B25"/>
    <mergeCell ref="C15:C19"/>
    <mergeCell ref="D15:E15"/>
    <mergeCell ref="G15:H15"/>
    <mergeCell ref="J15:K15"/>
    <mergeCell ref="M15:N15"/>
    <mergeCell ref="D17:E17"/>
    <mergeCell ref="G17:H17"/>
    <mergeCell ref="J17:K17"/>
    <mergeCell ref="M17:N17"/>
    <mergeCell ref="C20:C24"/>
    <mergeCell ref="D20:E20"/>
    <mergeCell ref="G20:H20"/>
    <mergeCell ref="J20:K20"/>
    <mergeCell ref="M20:N20"/>
    <mergeCell ref="P17:Q17"/>
    <mergeCell ref="D18:E18"/>
    <mergeCell ref="G18:H18"/>
    <mergeCell ref="J18:K18"/>
    <mergeCell ref="M18:N18"/>
    <mergeCell ref="P18:Q18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D24:E24"/>
    <mergeCell ref="G24:H24"/>
    <mergeCell ref="J24:K24"/>
    <mergeCell ref="M24:N24"/>
    <mergeCell ref="P24:Q24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</mergeCells>
  <phoneticPr fontId="1"/>
  <pageMargins left="0.7" right="0.7" top="0.75" bottom="0.75" header="0.3" footer="0.3"/>
  <pageSetup paperSize="9" scale="46" orientation="landscape" horizontalDpi="1200" verticalDpi="120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21693-61C7-4BAE-B36A-63629595A5D4}">
  <sheetPr codeName="Sheet14"/>
  <dimension ref="B1:S25"/>
  <sheetViews>
    <sheetView view="pageBreakPreview" topLeftCell="A4" zoomScale="85" zoomScaleNormal="70" zoomScaleSheetLayoutView="85" workbookViewId="0">
      <selection activeCell="G18" sqref="G18:H18"/>
    </sheetView>
  </sheetViews>
  <sheetFormatPr defaultRowHeight="18.75"/>
  <cols>
    <col min="1" max="1" width="2.5" customWidth="1"/>
    <col min="4" max="18" width="16" customWidth="1"/>
  </cols>
  <sheetData>
    <row r="1" spans="2:19" ht="24.75" thickBot="1">
      <c r="D1" s="53">
        <v>45733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19" s="5" customFormat="1">
      <c r="B2" s="201"/>
      <c r="C2" s="202"/>
      <c r="D2" s="205">
        <f>D1</f>
        <v>45733</v>
      </c>
      <c r="E2" s="195" t="s">
        <v>3</v>
      </c>
      <c r="F2" s="191" t="s">
        <v>4</v>
      </c>
      <c r="G2" s="197">
        <f>D2+1</f>
        <v>45734</v>
      </c>
      <c r="H2" s="195" t="s">
        <v>5</v>
      </c>
      <c r="I2" s="191" t="s">
        <v>4</v>
      </c>
      <c r="J2" s="197">
        <f>G2+1</f>
        <v>45735</v>
      </c>
      <c r="K2" s="195" t="s">
        <v>6</v>
      </c>
      <c r="L2" s="191" t="s">
        <v>4</v>
      </c>
      <c r="M2" s="197">
        <f>J2+1</f>
        <v>45736</v>
      </c>
      <c r="N2" s="195" t="s">
        <v>7</v>
      </c>
      <c r="O2" s="191" t="s">
        <v>4</v>
      </c>
      <c r="P2" s="197">
        <f>M2+1</f>
        <v>45737</v>
      </c>
      <c r="Q2" s="195" t="s">
        <v>8</v>
      </c>
      <c r="R2" s="191" t="s">
        <v>4</v>
      </c>
    </row>
    <row r="3" spans="2:19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19" ht="18.75" customHeight="1">
      <c r="B4" s="149" t="s">
        <v>32</v>
      </c>
      <c r="C4" s="138" t="s">
        <v>9</v>
      </c>
      <c r="D4" s="258" t="s">
        <v>551</v>
      </c>
      <c r="E4" s="194"/>
      <c r="F4" s="75">
        <v>0.45</v>
      </c>
      <c r="G4" s="193" t="s">
        <v>166</v>
      </c>
      <c r="H4" s="194"/>
      <c r="I4" s="75">
        <v>0.45</v>
      </c>
      <c r="J4" s="193" t="s">
        <v>166</v>
      </c>
      <c r="K4" s="194"/>
      <c r="L4" s="75">
        <v>0.45</v>
      </c>
      <c r="M4" s="193"/>
      <c r="N4" s="194"/>
      <c r="O4" s="75"/>
      <c r="P4" s="258" t="s">
        <v>166</v>
      </c>
      <c r="Q4" s="194"/>
      <c r="R4" s="75">
        <v>0.45</v>
      </c>
      <c r="S4" s="95"/>
    </row>
    <row r="5" spans="2:19">
      <c r="B5" s="150"/>
      <c r="C5" s="139"/>
      <c r="D5" s="233" t="s">
        <v>675</v>
      </c>
      <c r="E5" s="184"/>
      <c r="F5" s="32">
        <v>0.05</v>
      </c>
      <c r="G5" s="183" t="s">
        <v>676</v>
      </c>
      <c r="H5" s="184"/>
      <c r="I5" s="32">
        <v>0.05</v>
      </c>
      <c r="J5" s="183" t="s">
        <v>677</v>
      </c>
      <c r="K5" s="184"/>
      <c r="L5" s="32">
        <v>0.05</v>
      </c>
      <c r="M5" s="183"/>
      <c r="N5" s="184"/>
      <c r="O5" s="32"/>
      <c r="P5" s="183" t="s">
        <v>679</v>
      </c>
      <c r="Q5" s="184"/>
      <c r="R5" s="32">
        <v>0.05</v>
      </c>
      <c r="S5" s="95"/>
    </row>
    <row r="6" spans="2:19">
      <c r="B6" s="150"/>
      <c r="C6" s="139"/>
      <c r="D6" s="188" t="s">
        <v>718</v>
      </c>
      <c r="E6" s="148"/>
      <c r="F6" s="111">
        <v>1</v>
      </c>
      <c r="G6" s="188" t="s">
        <v>726</v>
      </c>
      <c r="H6" s="148"/>
      <c r="I6" s="111">
        <v>1.25</v>
      </c>
      <c r="J6" s="188" t="s">
        <v>727</v>
      </c>
      <c r="K6" s="148"/>
      <c r="L6" s="111">
        <v>1.5</v>
      </c>
      <c r="M6" s="188"/>
      <c r="N6" s="148"/>
      <c r="O6" s="111"/>
      <c r="P6" s="183" t="s">
        <v>682</v>
      </c>
      <c r="Q6" s="184"/>
      <c r="R6" s="113">
        <v>1</v>
      </c>
      <c r="S6" s="95"/>
    </row>
    <row r="7" spans="2:19">
      <c r="B7" s="150"/>
      <c r="C7" s="139"/>
      <c r="D7" s="188" t="s">
        <v>728</v>
      </c>
      <c r="E7" s="148"/>
      <c r="F7" s="111">
        <v>1.5</v>
      </c>
      <c r="G7" s="188" t="s">
        <v>729</v>
      </c>
      <c r="H7" s="148"/>
      <c r="I7" s="111">
        <v>1</v>
      </c>
      <c r="J7" s="188" t="s">
        <v>730</v>
      </c>
      <c r="K7" s="148"/>
      <c r="L7" s="111">
        <v>1</v>
      </c>
      <c r="M7" s="147"/>
      <c r="N7" s="148"/>
      <c r="O7" s="111"/>
      <c r="P7" s="226" t="s">
        <v>531</v>
      </c>
      <c r="Q7" s="227"/>
      <c r="R7" s="94">
        <v>1</v>
      </c>
      <c r="S7" s="8"/>
    </row>
    <row r="8" spans="2:19" ht="19.5" thickBot="1">
      <c r="B8" s="150"/>
      <c r="C8" s="140"/>
      <c r="D8" s="189"/>
      <c r="E8" s="190"/>
      <c r="F8" s="112"/>
      <c r="G8" s="239" t="s">
        <v>685</v>
      </c>
      <c r="H8" s="279"/>
      <c r="I8" s="112">
        <v>0.25</v>
      </c>
      <c r="J8" s="189"/>
      <c r="K8" s="190"/>
      <c r="L8" s="112"/>
      <c r="M8" s="239"/>
      <c r="N8" s="279"/>
      <c r="O8" s="114"/>
      <c r="P8" s="189" t="s">
        <v>731</v>
      </c>
      <c r="Q8" s="190"/>
      <c r="R8" s="112">
        <v>0.5</v>
      </c>
      <c r="S8" s="96"/>
    </row>
    <row r="9" spans="2:19" ht="18.75" customHeight="1">
      <c r="B9" s="150"/>
      <c r="C9" s="138" t="s">
        <v>20</v>
      </c>
      <c r="D9" s="147" t="s">
        <v>732</v>
      </c>
      <c r="E9" s="148"/>
      <c r="F9" s="111">
        <v>2.5</v>
      </c>
      <c r="G9" s="147" t="s">
        <v>733</v>
      </c>
      <c r="H9" s="148"/>
      <c r="I9" s="111">
        <v>2</v>
      </c>
      <c r="J9" s="147" t="s">
        <v>732</v>
      </c>
      <c r="K9" s="148"/>
      <c r="L9" s="111">
        <v>2.5</v>
      </c>
      <c r="M9" s="147"/>
      <c r="N9" s="148"/>
      <c r="O9" s="111"/>
      <c r="P9" s="147" t="s">
        <v>717</v>
      </c>
      <c r="Q9" s="148"/>
      <c r="R9" s="111">
        <v>1</v>
      </c>
      <c r="S9" s="11"/>
    </row>
    <row r="10" spans="2:19" ht="18.75" customHeight="1">
      <c r="B10" s="150"/>
      <c r="C10" s="139"/>
      <c r="D10" s="147" t="s">
        <v>734</v>
      </c>
      <c r="E10" s="148"/>
      <c r="F10" s="111">
        <v>1.5</v>
      </c>
      <c r="G10" s="147" t="s">
        <v>735</v>
      </c>
      <c r="H10" s="148"/>
      <c r="I10" s="111">
        <v>0.5</v>
      </c>
      <c r="J10" s="147" t="s">
        <v>735</v>
      </c>
      <c r="K10" s="148"/>
      <c r="L10" s="111">
        <v>0.5</v>
      </c>
      <c r="M10" s="147"/>
      <c r="N10" s="148"/>
      <c r="O10" s="111"/>
      <c r="P10" s="183" t="s">
        <v>736</v>
      </c>
      <c r="Q10" s="184"/>
      <c r="R10" s="111">
        <v>2.5</v>
      </c>
      <c r="S10" s="11"/>
    </row>
    <row r="11" spans="2:19" ht="18.75" customHeight="1">
      <c r="B11" s="150"/>
      <c r="C11" s="139"/>
      <c r="D11" s="183"/>
      <c r="E11" s="184"/>
      <c r="F11" s="111"/>
      <c r="G11" s="147" t="s">
        <v>734</v>
      </c>
      <c r="H11" s="148"/>
      <c r="I11" s="111">
        <v>1.5</v>
      </c>
      <c r="J11" s="147" t="s">
        <v>734</v>
      </c>
      <c r="K11" s="148"/>
      <c r="L11" s="111">
        <v>1</v>
      </c>
      <c r="M11" s="286"/>
      <c r="N11" s="234"/>
      <c r="O11" s="64"/>
      <c r="P11" s="183"/>
      <c r="Q11" s="184"/>
      <c r="R11" s="111"/>
      <c r="S11" s="96"/>
    </row>
    <row r="12" spans="2:19" ht="18.75" customHeight="1">
      <c r="B12" s="150"/>
      <c r="C12" s="139"/>
      <c r="D12" s="183"/>
      <c r="E12" s="184"/>
      <c r="F12" s="111"/>
      <c r="G12" s="183"/>
      <c r="H12" s="184"/>
      <c r="I12" s="111"/>
      <c r="J12" s="183"/>
      <c r="K12" s="184"/>
      <c r="L12" s="111"/>
      <c r="M12" s="183"/>
      <c r="N12" s="184"/>
      <c r="O12" s="113"/>
      <c r="P12" s="183" t="s">
        <v>721</v>
      </c>
      <c r="Q12" s="184"/>
      <c r="R12" s="111">
        <v>0.5</v>
      </c>
      <c r="S12" s="96"/>
    </row>
    <row r="13" spans="2:19" ht="19.5" customHeight="1" thickBot="1">
      <c r="B13" s="150"/>
      <c r="C13" s="140"/>
      <c r="D13" s="178" t="s">
        <v>696</v>
      </c>
      <c r="E13" s="179"/>
      <c r="F13" s="59">
        <v>0.75</v>
      </c>
      <c r="G13" s="178" t="s">
        <v>696</v>
      </c>
      <c r="H13" s="179"/>
      <c r="I13" s="59">
        <v>0.75</v>
      </c>
      <c r="J13" s="178" t="s">
        <v>696</v>
      </c>
      <c r="K13" s="179"/>
      <c r="L13" s="114">
        <v>0.75</v>
      </c>
      <c r="M13" s="178"/>
      <c r="N13" s="179"/>
      <c r="O13" s="59"/>
      <c r="P13" s="178" t="s">
        <v>696</v>
      </c>
      <c r="Q13" s="179"/>
      <c r="R13" s="59">
        <v>0.75</v>
      </c>
    </row>
    <row r="14" spans="2:19" ht="19.5" thickBot="1">
      <c r="B14" s="151"/>
      <c r="C14" s="18" t="s">
        <v>76</v>
      </c>
      <c r="D14" s="17"/>
      <c r="E14" s="17"/>
      <c r="F14" s="18">
        <f>SUM(F4:F13)</f>
        <v>7.75</v>
      </c>
      <c r="G14" s="17"/>
      <c r="H14" s="17"/>
      <c r="I14" s="18">
        <f>SUM(I4:I13)</f>
        <v>7.75</v>
      </c>
      <c r="J14" s="17"/>
      <c r="K14" s="17"/>
      <c r="L14" s="18">
        <f>SUM(L4:L13)</f>
        <v>7.75</v>
      </c>
      <c r="M14" s="17"/>
      <c r="N14" s="17"/>
      <c r="O14" s="18">
        <f>SUM(O4:O13)</f>
        <v>0</v>
      </c>
      <c r="P14" s="17"/>
      <c r="Q14" s="17"/>
      <c r="R14" s="18">
        <f>SUM(R4:R13)</f>
        <v>7.75</v>
      </c>
    </row>
    <row r="15" spans="2:19" ht="18.75" customHeight="1">
      <c r="B15" s="149" t="s">
        <v>65</v>
      </c>
      <c r="C15" s="138" t="s">
        <v>9</v>
      </c>
      <c r="D15" s="152" t="s">
        <v>697</v>
      </c>
      <c r="E15" s="153"/>
      <c r="F15" s="6">
        <v>1</v>
      </c>
      <c r="G15" s="216" t="s">
        <v>737</v>
      </c>
      <c r="H15" s="163"/>
      <c r="I15" s="6">
        <v>2</v>
      </c>
      <c r="J15" s="154" t="s">
        <v>697</v>
      </c>
      <c r="K15" s="155"/>
      <c r="L15" s="6">
        <v>1</v>
      </c>
      <c r="M15" s="183"/>
      <c r="N15" s="184"/>
      <c r="O15" s="75"/>
      <c r="P15" s="156" t="s">
        <v>671</v>
      </c>
      <c r="Q15" s="153"/>
      <c r="R15" s="6">
        <v>0.25</v>
      </c>
    </row>
    <row r="16" spans="2:19" ht="18.75" customHeight="1">
      <c r="B16" s="150"/>
      <c r="C16" s="139"/>
      <c r="D16" s="157" t="s">
        <v>707</v>
      </c>
      <c r="E16" s="155"/>
      <c r="F16" s="7">
        <v>0.75</v>
      </c>
      <c r="G16" s="154" t="s">
        <v>745</v>
      </c>
      <c r="H16" s="155"/>
      <c r="I16" s="7">
        <v>1</v>
      </c>
      <c r="J16" s="154" t="s">
        <v>738</v>
      </c>
      <c r="K16" s="155"/>
      <c r="L16" s="7">
        <v>0.75</v>
      </c>
      <c r="M16" s="183"/>
      <c r="N16" s="184"/>
      <c r="O16" s="32"/>
      <c r="P16" s="154" t="s">
        <v>670</v>
      </c>
      <c r="Q16" s="155"/>
      <c r="R16" s="7">
        <v>0.5</v>
      </c>
    </row>
    <row r="17" spans="2:18" ht="18.75" customHeight="1">
      <c r="B17" s="150"/>
      <c r="C17" s="139"/>
      <c r="D17" s="157" t="s">
        <v>745</v>
      </c>
      <c r="E17" s="155"/>
      <c r="F17" s="7">
        <v>1</v>
      </c>
      <c r="G17" s="216"/>
      <c r="H17" s="163"/>
      <c r="I17" s="7"/>
      <c r="J17" s="154" t="s">
        <v>746</v>
      </c>
      <c r="K17" s="155"/>
      <c r="L17" s="7">
        <v>0.75</v>
      </c>
      <c r="M17" s="183"/>
      <c r="N17" s="184"/>
      <c r="O17" s="32"/>
      <c r="P17" s="154" t="s">
        <v>669</v>
      </c>
      <c r="Q17" s="155"/>
      <c r="R17" s="7">
        <v>1</v>
      </c>
    </row>
    <row r="18" spans="2:18" ht="18.75" customHeight="1">
      <c r="B18" s="150"/>
      <c r="C18" s="139"/>
      <c r="D18" s="221"/>
      <c r="E18" s="222"/>
      <c r="F18" s="7"/>
      <c r="G18" s="154"/>
      <c r="H18" s="155"/>
      <c r="I18" s="12"/>
      <c r="J18" s="154" t="s">
        <v>745</v>
      </c>
      <c r="K18" s="155"/>
      <c r="L18" s="12">
        <v>1</v>
      </c>
      <c r="M18" s="183"/>
      <c r="N18" s="184"/>
      <c r="O18" s="76"/>
      <c r="P18" s="154" t="s">
        <v>744</v>
      </c>
      <c r="Q18" s="155"/>
      <c r="R18" s="12">
        <v>1</v>
      </c>
    </row>
    <row r="19" spans="2:18" ht="19.5" customHeight="1" thickBot="1">
      <c r="B19" s="150"/>
      <c r="C19" s="140"/>
      <c r="D19" s="158"/>
      <c r="E19" s="159"/>
      <c r="F19" s="9"/>
      <c r="G19" s="161"/>
      <c r="H19" s="159"/>
      <c r="I19" s="9"/>
      <c r="J19" s="161"/>
      <c r="K19" s="159"/>
      <c r="L19" s="9"/>
      <c r="M19" s="223"/>
      <c r="N19" s="179"/>
      <c r="O19" s="59"/>
      <c r="P19" s="161"/>
      <c r="Q19" s="159"/>
      <c r="R19" s="9"/>
    </row>
    <row r="20" spans="2:18" ht="18.75" customHeight="1">
      <c r="B20" s="150"/>
      <c r="C20" s="138" t="s">
        <v>20</v>
      </c>
      <c r="D20" s="152" t="s">
        <v>739</v>
      </c>
      <c r="E20" s="153"/>
      <c r="F20" s="6">
        <v>1.25</v>
      </c>
      <c r="G20" s="154" t="s">
        <v>740</v>
      </c>
      <c r="H20" s="155"/>
      <c r="I20" s="7">
        <v>2</v>
      </c>
      <c r="J20" s="154" t="s">
        <v>671</v>
      </c>
      <c r="K20" s="155"/>
      <c r="L20" s="7">
        <v>0.5</v>
      </c>
      <c r="M20" s="183"/>
      <c r="N20" s="184"/>
      <c r="O20" s="32"/>
      <c r="P20" s="154" t="s">
        <v>741</v>
      </c>
      <c r="Q20" s="155"/>
      <c r="R20" s="7">
        <v>1.5</v>
      </c>
    </row>
    <row r="21" spans="2:18" ht="18.75" customHeight="1">
      <c r="B21" s="150"/>
      <c r="C21" s="139"/>
      <c r="D21" s="157" t="s">
        <v>742</v>
      </c>
      <c r="E21" s="155"/>
      <c r="F21" s="7">
        <v>1</v>
      </c>
      <c r="G21" s="216" t="s">
        <v>743</v>
      </c>
      <c r="H21" s="163"/>
      <c r="I21" s="7">
        <v>2</v>
      </c>
      <c r="J21" s="154" t="s">
        <v>698</v>
      </c>
      <c r="K21" s="155"/>
      <c r="L21" s="7">
        <v>1</v>
      </c>
      <c r="M21" s="183"/>
      <c r="N21" s="184"/>
      <c r="O21" s="32"/>
      <c r="P21" s="154" t="s">
        <v>697</v>
      </c>
      <c r="Q21" s="155"/>
      <c r="R21" s="7">
        <v>1.25</v>
      </c>
    </row>
    <row r="22" spans="2:18" ht="18.75" customHeight="1">
      <c r="B22" s="150"/>
      <c r="C22" s="139"/>
      <c r="D22" s="157" t="s">
        <v>743</v>
      </c>
      <c r="E22" s="155"/>
      <c r="F22" s="7">
        <v>2</v>
      </c>
      <c r="G22" s="216"/>
      <c r="H22" s="163"/>
      <c r="I22" s="7"/>
      <c r="J22" s="154" t="s">
        <v>743</v>
      </c>
      <c r="K22" s="155"/>
      <c r="L22" s="7">
        <v>2</v>
      </c>
      <c r="M22" s="183"/>
      <c r="N22" s="184"/>
      <c r="O22" s="32"/>
      <c r="P22" s="154" t="s">
        <v>699</v>
      </c>
      <c r="Q22" s="155"/>
      <c r="R22" s="7">
        <v>0.5</v>
      </c>
    </row>
    <row r="23" spans="2:18" ht="18.75" customHeight="1">
      <c r="B23" s="150"/>
      <c r="C23" s="139"/>
      <c r="D23" s="157"/>
      <c r="E23" s="155"/>
      <c r="F23" s="7"/>
      <c r="G23" s="154"/>
      <c r="H23" s="155"/>
      <c r="I23" s="7"/>
      <c r="J23" s="154"/>
      <c r="K23" s="155"/>
      <c r="L23" s="7"/>
      <c r="M23" s="183"/>
      <c r="N23" s="184"/>
      <c r="O23" s="32"/>
      <c r="P23" s="154" t="s">
        <v>745</v>
      </c>
      <c r="Q23" s="155"/>
      <c r="R23" s="7">
        <v>1</v>
      </c>
    </row>
    <row r="24" spans="2:18" ht="19.5" customHeight="1" thickBot="1">
      <c r="B24" s="150"/>
      <c r="C24" s="140"/>
      <c r="D24" s="157" t="s">
        <v>110</v>
      </c>
      <c r="E24" s="155"/>
      <c r="F24" s="7"/>
      <c r="G24" s="161" t="s">
        <v>110</v>
      </c>
      <c r="H24" s="159"/>
      <c r="I24" s="9"/>
      <c r="J24" s="161" t="s">
        <v>110</v>
      </c>
      <c r="K24" s="159"/>
      <c r="L24" s="9"/>
      <c r="M24" s="223"/>
      <c r="N24" s="179"/>
      <c r="O24" s="59"/>
      <c r="P24" s="161" t="s">
        <v>110</v>
      </c>
      <c r="Q24" s="159"/>
      <c r="R24" s="9"/>
    </row>
    <row r="25" spans="2:18" ht="19.5" thickBot="1">
      <c r="B25" s="151"/>
      <c r="C25" s="18" t="s">
        <v>76</v>
      </c>
      <c r="D25" s="17"/>
      <c r="E25" s="17"/>
      <c r="F25" s="18">
        <f>SUM(F15:F24)</f>
        <v>7</v>
      </c>
      <c r="G25" s="17"/>
      <c r="H25" s="17"/>
      <c r="I25" s="18">
        <f>SUM(I15:I24)</f>
        <v>7</v>
      </c>
      <c r="J25" s="17"/>
      <c r="K25" s="17"/>
      <c r="L25" s="18">
        <f>SUM(L15:L24)</f>
        <v>7</v>
      </c>
      <c r="M25" s="17"/>
      <c r="N25" s="17"/>
      <c r="O25" s="18">
        <f>SUM(O15:O24)</f>
        <v>0</v>
      </c>
      <c r="P25" s="17"/>
      <c r="Q25" s="17"/>
      <c r="R25" s="18">
        <f>SUM(R15:R24)</f>
        <v>7</v>
      </c>
    </row>
  </sheetData>
  <mergeCells count="124"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  <mergeCell ref="Q2:Q3"/>
    <mergeCell ref="R2:R3"/>
    <mergeCell ref="B4:B14"/>
    <mergeCell ref="C4:C8"/>
    <mergeCell ref="D4:E4"/>
    <mergeCell ref="G4:H4"/>
    <mergeCell ref="J4:K4"/>
    <mergeCell ref="M4:N4"/>
    <mergeCell ref="P4:Q4"/>
    <mergeCell ref="D5:E5"/>
    <mergeCell ref="K2:K3"/>
    <mergeCell ref="L2:L3"/>
    <mergeCell ref="M2:M3"/>
    <mergeCell ref="N2:N3"/>
    <mergeCell ref="O2:O3"/>
    <mergeCell ref="P2:P3"/>
    <mergeCell ref="G5:H5"/>
    <mergeCell ref="J5:K5"/>
    <mergeCell ref="M5:N5"/>
    <mergeCell ref="P5:Q5"/>
    <mergeCell ref="D6:E6"/>
    <mergeCell ref="G6:H6"/>
    <mergeCell ref="J6:K6"/>
    <mergeCell ref="M6:N6"/>
    <mergeCell ref="P6:Q6"/>
    <mergeCell ref="D7:E7"/>
    <mergeCell ref="G7:H7"/>
    <mergeCell ref="J7:K7"/>
    <mergeCell ref="M7:N7"/>
    <mergeCell ref="P7:Q7"/>
    <mergeCell ref="D8:E8"/>
    <mergeCell ref="G8:H8"/>
    <mergeCell ref="J8:K8"/>
    <mergeCell ref="M8:N8"/>
    <mergeCell ref="P8:Q8"/>
    <mergeCell ref="P10:Q10"/>
    <mergeCell ref="D11:E11"/>
    <mergeCell ref="G11:H11"/>
    <mergeCell ref="J11:K11"/>
    <mergeCell ref="M11:N11"/>
    <mergeCell ref="P11:Q11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2:E12"/>
    <mergeCell ref="G12:H12"/>
    <mergeCell ref="J12:K12"/>
    <mergeCell ref="M12:N12"/>
    <mergeCell ref="P12:Q12"/>
    <mergeCell ref="D13:E13"/>
    <mergeCell ref="G13:H13"/>
    <mergeCell ref="J13:K13"/>
    <mergeCell ref="M13:N13"/>
    <mergeCell ref="P13:Q13"/>
    <mergeCell ref="P15:Q15"/>
    <mergeCell ref="D16:E16"/>
    <mergeCell ref="G16:H16"/>
    <mergeCell ref="J16:K16"/>
    <mergeCell ref="M16:N16"/>
    <mergeCell ref="P16:Q16"/>
    <mergeCell ref="B15:B25"/>
    <mergeCell ref="C15:C19"/>
    <mergeCell ref="D15:E15"/>
    <mergeCell ref="G15:H15"/>
    <mergeCell ref="J15:K15"/>
    <mergeCell ref="M15:N15"/>
    <mergeCell ref="D17:E17"/>
    <mergeCell ref="G17:H17"/>
    <mergeCell ref="J17:K17"/>
    <mergeCell ref="M17:N17"/>
    <mergeCell ref="C20:C24"/>
    <mergeCell ref="D20:E20"/>
    <mergeCell ref="G20:H20"/>
    <mergeCell ref="J20:K20"/>
    <mergeCell ref="M20:N20"/>
    <mergeCell ref="P17:Q17"/>
    <mergeCell ref="D18:E18"/>
    <mergeCell ref="G18:H18"/>
    <mergeCell ref="J18:K18"/>
    <mergeCell ref="M18:N18"/>
    <mergeCell ref="P18:Q18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D24:E24"/>
    <mergeCell ref="G24:H24"/>
    <mergeCell ref="J24:K24"/>
    <mergeCell ref="M24:N24"/>
    <mergeCell ref="P24:Q24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</mergeCells>
  <phoneticPr fontId="1"/>
  <pageMargins left="0.7" right="0.7" top="0.75" bottom="0.75" header="0.3" footer="0.3"/>
  <pageSetup paperSize="8" scale="67" orientation="landscape" horizontalDpi="1200" verticalDpi="1200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1ACB2-4A01-4A16-A385-2668E11CDEA0}">
  <sheetPr codeName="Sheet15"/>
  <dimension ref="B1:S25"/>
  <sheetViews>
    <sheetView view="pageBreakPreview" zoomScale="60" zoomScaleNormal="70" workbookViewId="0">
      <selection activeCell="G18" sqref="G18:H18"/>
    </sheetView>
  </sheetViews>
  <sheetFormatPr defaultRowHeight="18.75"/>
  <cols>
    <col min="1" max="1" width="2.5" customWidth="1"/>
    <col min="4" max="18" width="16" customWidth="1"/>
  </cols>
  <sheetData>
    <row r="1" spans="2:19" ht="24.75" thickBot="1">
      <c r="D1" s="53">
        <v>45726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19" s="5" customFormat="1">
      <c r="B2" s="201"/>
      <c r="C2" s="202"/>
      <c r="D2" s="205">
        <f>D1</f>
        <v>45726</v>
      </c>
      <c r="E2" s="195" t="s">
        <v>3</v>
      </c>
      <c r="F2" s="191" t="s">
        <v>4</v>
      </c>
      <c r="G2" s="197">
        <f>D2+1</f>
        <v>45727</v>
      </c>
      <c r="H2" s="195" t="s">
        <v>5</v>
      </c>
      <c r="I2" s="191" t="s">
        <v>4</v>
      </c>
      <c r="J2" s="197">
        <f>G2+1</f>
        <v>45728</v>
      </c>
      <c r="K2" s="195" t="s">
        <v>6</v>
      </c>
      <c r="L2" s="191" t="s">
        <v>4</v>
      </c>
      <c r="M2" s="197">
        <f>J2+1</f>
        <v>45729</v>
      </c>
      <c r="N2" s="195" t="s">
        <v>7</v>
      </c>
      <c r="O2" s="191" t="s">
        <v>4</v>
      </c>
      <c r="P2" s="197">
        <f>M2+1</f>
        <v>45730</v>
      </c>
      <c r="Q2" s="195" t="s">
        <v>8</v>
      </c>
      <c r="R2" s="191" t="s">
        <v>4</v>
      </c>
    </row>
    <row r="3" spans="2:19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19" ht="18.75" customHeight="1">
      <c r="B4" s="149" t="s">
        <v>32</v>
      </c>
      <c r="C4" s="138" t="s">
        <v>9</v>
      </c>
      <c r="D4" s="241"/>
      <c r="E4" s="232"/>
      <c r="F4" s="61"/>
      <c r="G4" s="219" t="s">
        <v>166</v>
      </c>
      <c r="H4" s="220"/>
      <c r="I4" s="21">
        <v>0.5</v>
      </c>
      <c r="J4" s="219" t="s">
        <v>166</v>
      </c>
      <c r="K4" s="220"/>
      <c r="L4" s="21">
        <v>0.5</v>
      </c>
      <c r="M4" s="219" t="s">
        <v>166</v>
      </c>
      <c r="N4" s="220"/>
      <c r="O4" s="21">
        <v>0.5</v>
      </c>
      <c r="P4" s="293" t="s">
        <v>166</v>
      </c>
      <c r="Q4" s="220"/>
      <c r="R4" s="21">
        <v>0.5</v>
      </c>
      <c r="S4" s="95"/>
    </row>
    <row r="5" spans="2:19">
      <c r="B5" s="150"/>
      <c r="C5" s="139"/>
      <c r="D5" s="183"/>
      <c r="E5" s="184"/>
      <c r="F5" s="62"/>
      <c r="G5" s="154" t="s">
        <v>676</v>
      </c>
      <c r="H5" s="163"/>
      <c r="I5" s="20">
        <v>0.05</v>
      </c>
      <c r="J5" s="154" t="s">
        <v>677</v>
      </c>
      <c r="K5" s="163"/>
      <c r="L5" s="20">
        <v>0.05</v>
      </c>
      <c r="M5" s="154" t="s">
        <v>678</v>
      </c>
      <c r="N5" s="163"/>
      <c r="O5" s="20">
        <v>0.05</v>
      </c>
      <c r="P5" s="154" t="s">
        <v>679</v>
      </c>
      <c r="Q5" s="163"/>
      <c r="R5" s="20">
        <v>0.05</v>
      </c>
      <c r="S5" s="95"/>
    </row>
    <row r="6" spans="2:19">
      <c r="B6" s="150"/>
      <c r="C6" s="139"/>
      <c r="D6" s="253"/>
      <c r="E6" s="227"/>
      <c r="F6" s="94"/>
      <c r="G6" s="244" t="s">
        <v>710</v>
      </c>
      <c r="H6" s="245"/>
      <c r="I6" s="58">
        <v>1</v>
      </c>
      <c r="J6" s="244" t="s">
        <v>711</v>
      </c>
      <c r="K6" s="245"/>
      <c r="L6" s="58">
        <v>1</v>
      </c>
      <c r="M6" s="244" t="s">
        <v>711</v>
      </c>
      <c r="N6" s="245"/>
      <c r="O6" s="58">
        <v>2.2000000000000002</v>
      </c>
      <c r="P6" s="154" t="s">
        <v>682</v>
      </c>
      <c r="Q6" s="155"/>
      <c r="R6" s="56">
        <v>1</v>
      </c>
      <c r="S6" s="95"/>
    </row>
    <row r="7" spans="2:19">
      <c r="B7" s="150"/>
      <c r="C7" s="139"/>
      <c r="D7" s="253"/>
      <c r="E7" s="227"/>
      <c r="F7" s="94"/>
      <c r="G7" s="244" t="s">
        <v>712</v>
      </c>
      <c r="H7" s="245"/>
      <c r="I7" s="58">
        <v>1.2</v>
      </c>
      <c r="J7" s="283" t="s">
        <v>713</v>
      </c>
      <c r="K7" s="245"/>
      <c r="L7" s="58">
        <v>1.45</v>
      </c>
      <c r="M7" s="283"/>
      <c r="N7" s="245"/>
      <c r="O7" s="58"/>
      <c r="P7" s="244" t="s">
        <v>711</v>
      </c>
      <c r="Q7" s="245"/>
      <c r="R7" s="58">
        <v>1.45</v>
      </c>
      <c r="S7" s="8"/>
    </row>
    <row r="8" spans="2:19" ht="19.5" thickBot="1">
      <c r="B8" s="150"/>
      <c r="C8" s="140"/>
      <c r="D8" s="229"/>
      <c r="E8" s="230"/>
      <c r="F8" s="68"/>
      <c r="G8" s="217" t="s">
        <v>685</v>
      </c>
      <c r="H8" s="218"/>
      <c r="I8" s="57">
        <v>0.25</v>
      </c>
      <c r="J8" s="290"/>
      <c r="K8" s="291"/>
      <c r="L8" s="57"/>
      <c r="M8" s="217" t="s">
        <v>239</v>
      </c>
      <c r="N8" s="292"/>
      <c r="O8" s="108">
        <v>0.25</v>
      </c>
      <c r="P8" s="290"/>
      <c r="Q8" s="291"/>
      <c r="R8" s="57"/>
      <c r="S8" s="96"/>
    </row>
    <row r="9" spans="2:19" ht="18.75" customHeight="1">
      <c r="B9" s="150"/>
      <c r="C9" s="138" t="s">
        <v>20</v>
      </c>
      <c r="D9" s="254"/>
      <c r="E9" s="255"/>
      <c r="F9" s="94"/>
      <c r="G9" s="283" t="s">
        <v>714</v>
      </c>
      <c r="H9" s="245"/>
      <c r="I9" s="58">
        <v>1</v>
      </c>
      <c r="J9" s="154" t="s">
        <v>715</v>
      </c>
      <c r="K9" s="155"/>
      <c r="L9" s="58">
        <v>1</v>
      </c>
      <c r="M9" s="283" t="s">
        <v>716</v>
      </c>
      <c r="N9" s="245"/>
      <c r="O9" s="58">
        <v>1</v>
      </c>
      <c r="P9" s="283" t="s">
        <v>717</v>
      </c>
      <c r="Q9" s="245"/>
      <c r="R9" s="58">
        <v>1.5</v>
      </c>
      <c r="S9" s="11"/>
    </row>
    <row r="10" spans="2:19" ht="18.75" customHeight="1">
      <c r="B10" s="150"/>
      <c r="C10" s="139"/>
      <c r="D10" s="253"/>
      <c r="E10" s="227"/>
      <c r="F10" s="94"/>
      <c r="G10" s="154" t="s">
        <v>718</v>
      </c>
      <c r="H10" s="155"/>
      <c r="I10" s="58">
        <v>1</v>
      </c>
      <c r="J10" s="154" t="s">
        <v>719</v>
      </c>
      <c r="K10" s="155"/>
      <c r="L10" s="58">
        <v>1</v>
      </c>
      <c r="M10" s="154" t="s">
        <v>720</v>
      </c>
      <c r="N10" s="155"/>
      <c r="O10" s="58">
        <v>2</v>
      </c>
      <c r="P10" s="154" t="s">
        <v>720</v>
      </c>
      <c r="Q10" s="155"/>
      <c r="R10" s="58">
        <v>2</v>
      </c>
      <c r="S10" s="11"/>
    </row>
    <row r="11" spans="2:19" ht="18.75" customHeight="1">
      <c r="B11" s="150"/>
      <c r="C11" s="139"/>
      <c r="D11" s="183"/>
      <c r="E11" s="184"/>
      <c r="F11" s="94"/>
      <c r="G11" s="154" t="s">
        <v>719</v>
      </c>
      <c r="H11" s="155"/>
      <c r="I11" s="58">
        <v>1.5</v>
      </c>
      <c r="J11" s="154" t="s">
        <v>720</v>
      </c>
      <c r="K11" s="155"/>
      <c r="L11" s="58">
        <v>1.5</v>
      </c>
      <c r="M11" s="288"/>
      <c r="N11" s="289"/>
      <c r="O11" s="110"/>
      <c r="P11" s="154"/>
      <c r="Q11" s="155"/>
      <c r="R11" s="58"/>
      <c r="S11" s="96"/>
    </row>
    <row r="12" spans="2:19" ht="18.75" customHeight="1">
      <c r="B12" s="150"/>
      <c r="C12" s="139"/>
      <c r="D12" s="183"/>
      <c r="E12" s="184"/>
      <c r="F12" s="94"/>
      <c r="G12" s="154" t="s">
        <v>721</v>
      </c>
      <c r="H12" s="155"/>
      <c r="I12" s="58">
        <v>0.5</v>
      </c>
      <c r="J12" s="154" t="s">
        <v>721</v>
      </c>
      <c r="K12" s="155"/>
      <c r="L12" s="58">
        <v>0.5</v>
      </c>
      <c r="M12" s="154" t="s">
        <v>682</v>
      </c>
      <c r="N12" s="155"/>
      <c r="O12" s="56">
        <v>1</v>
      </c>
      <c r="P12" s="154" t="s">
        <v>721</v>
      </c>
      <c r="Q12" s="155"/>
      <c r="R12" s="58">
        <v>0.5</v>
      </c>
      <c r="S12" s="96"/>
    </row>
    <row r="13" spans="2:19" ht="19.5" customHeight="1" thickBot="1">
      <c r="B13" s="150"/>
      <c r="C13" s="140"/>
      <c r="D13" s="223"/>
      <c r="E13" s="179"/>
      <c r="F13" s="60"/>
      <c r="G13" s="160" t="s">
        <v>696</v>
      </c>
      <c r="H13" s="287"/>
      <c r="I13" s="45">
        <v>0.75</v>
      </c>
      <c r="J13" s="160" t="s">
        <v>696</v>
      </c>
      <c r="K13" s="287"/>
      <c r="L13" s="108">
        <v>0.75</v>
      </c>
      <c r="M13" s="160" t="s">
        <v>696</v>
      </c>
      <c r="N13" s="287"/>
      <c r="O13" s="45">
        <v>0.75</v>
      </c>
      <c r="P13" s="160" t="s">
        <v>696</v>
      </c>
      <c r="Q13" s="287"/>
      <c r="R13" s="45">
        <v>0.75</v>
      </c>
    </row>
    <row r="14" spans="2:19" ht="19.5" thickBot="1">
      <c r="B14" s="151"/>
      <c r="C14" s="18" t="s">
        <v>76</v>
      </c>
      <c r="D14" s="17"/>
      <c r="E14" s="17"/>
      <c r="F14" s="18">
        <f>SUM(F4:F13)</f>
        <v>0</v>
      </c>
      <c r="G14" s="17"/>
      <c r="H14" s="17"/>
      <c r="I14" s="18">
        <f>SUM(I4:I13)</f>
        <v>7.75</v>
      </c>
      <c r="J14" s="17"/>
      <c r="K14" s="17"/>
      <c r="L14" s="18">
        <f>SUM(L4:L13)</f>
        <v>7.75</v>
      </c>
      <c r="M14" s="17"/>
      <c r="N14" s="17"/>
      <c r="O14" s="18">
        <f>SUM(O4:O13)</f>
        <v>7.75</v>
      </c>
      <c r="P14" s="17"/>
      <c r="Q14" s="17"/>
      <c r="R14" s="18">
        <f>SUM(R4:R13)</f>
        <v>7.75</v>
      </c>
    </row>
    <row r="15" spans="2:19" ht="18.75" customHeight="1">
      <c r="B15" s="149" t="s">
        <v>65</v>
      </c>
      <c r="C15" s="138" t="s">
        <v>9</v>
      </c>
      <c r="D15" s="152" t="s">
        <v>708</v>
      </c>
      <c r="E15" s="153"/>
      <c r="F15" s="6">
        <v>1.5</v>
      </c>
      <c r="G15" s="216" t="s">
        <v>698</v>
      </c>
      <c r="H15" s="163"/>
      <c r="I15" s="6">
        <v>1.5</v>
      </c>
      <c r="J15" s="154" t="s">
        <v>700</v>
      </c>
      <c r="K15" s="155"/>
      <c r="L15" s="6">
        <v>1</v>
      </c>
      <c r="M15" s="154" t="s">
        <v>709</v>
      </c>
      <c r="N15" s="155"/>
      <c r="O15" s="6">
        <v>1.5</v>
      </c>
      <c r="P15" s="156" t="s">
        <v>671</v>
      </c>
      <c r="Q15" s="153"/>
      <c r="R15" s="6">
        <v>0.25</v>
      </c>
    </row>
    <row r="16" spans="2:19" ht="18.75" customHeight="1">
      <c r="B16" s="150"/>
      <c r="C16" s="139"/>
      <c r="D16" s="157" t="s">
        <v>722</v>
      </c>
      <c r="E16" s="155"/>
      <c r="F16" s="7">
        <v>0.5</v>
      </c>
      <c r="G16" s="154" t="s">
        <v>699</v>
      </c>
      <c r="H16" s="155"/>
      <c r="I16" s="7">
        <v>0.5</v>
      </c>
      <c r="J16" s="154" t="s">
        <v>697</v>
      </c>
      <c r="K16" s="155"/>
      <c r="L16" s="7">
        <v>1.5</v>
      </c>
      <c r="M16" s="154" t="s">
        <v>697</v>
      </c>
      <c r="N16" s="155"/>
      <c r="O16" s="7">
        <v>1.5</v>
      </c>
      <c r="P16" s="154" t="s">
        <v>667</v>
      </c>
      <c r="Q16" s="155"/>
      <c r="R16" s="7">
        <v>0.5</v>
      </c>
    </row>
    <row r="17" spans="2:18" ht="18.75" customHeight="1">
      <c r="B17" s="150"/>
      <c r="C17" s="139"/>
      <c r="D17" s="157" t="s">
        <v>723</v>
      </c>
      <c r="E17" s="155"/>
      <c r="F17" s="7">
        <v>1.25</v>
      </c>
      <c r="G17" s="216" t="s">
        <v>723</v>
      </c>
      <c r="H17" s="163"/>
      <c r="I17" s="7">
        <v>1.25</v>
      </c>
      <c r="J17" s="154" t="s">
        <v>723</v>
      </c>
      <c r="K17" s="155"/>
      <c r="L17" s="7">
        <v>1.25</v>
      </c>
      <c r="M17" s="154"/>
      <c r="N17" s="155"/>
      <c r="O17" s="7"/>
      <c r="P17" s="154" t="s">
        <v>704</v>
      </c>
      <c r="Q17" s="155"/>
      <c r="R17" s="7">
        <v>1</v>
      </c>
    </row>
    <row r="18" spans="2:18" ht="18.75" customHeight="1">
      <c r="B18" s="150"/>
      <c r="C18" s="139"/>
      <c r="D18" s="221" t="s">
        <v>724</v>
      </c>
      <c r="E18" s="222"/>
      <c r="F18" s="7">
        <v>0.5</v>
      </c>
      <c r="G18" s="154"/>
      <c r="H18" s="155"/>
      <c r="I18" s="12"/>
      <c r="J18" s="154"/>
      <c r="K18" s="155"/>
      <c r="L18" s="12"/>
      <c r="M18" s="154"/>
      <c r="N18" s="155"/>
      <c r="O18" s="12"/>
      <c r="P18" s="154"/>
      <c r="Q18" s="155"/>
      <c r="R18" s="12"/>
    </row>
    <row r="19" spans="2:18" ht="19.5" customHeight="1" thickBot="1">
      <c r="B19" s="150"/>
      <c r="C19" s="140"/>
      <c r="D19" s="158"/>
      <c r="E19" s="159"/>
      <c r="F19" s="9"/>
      <c r="G19" s="161"/>
      <c r="H19" s="159"/>
      <c r="I19" s="9"/>
      <c r="J19" s="161"/>
      <c r="K19" s="159"/>
      <c r="L19" s="9"/>
      <c r="M19" s="161"/>
      <c r="N19" s="159"/>
      <c r="O19" s="9"/>
      <c r="P19" s="161"/>
      <c r="Q19" s="159"/>
      <c r="R19" s="9"/>
    </row>
    <row r="20" spans="2:18" ht="18.75" customHeight="1">
      <c r="B20" s="150"/>
      <c r="C20" s="138" t="s">
        <v>20</v>
      </c>
      <c r="D20" s="152" t="s">
        <v>666</v>
      </c>
      <c r="E20" s="153"/>
      <c r="F20" s="6">
        <v>1</v>
      </c>
      <c r="G20" s="154" t="s">
        <v>702</v>
      </c>
      <c r="H20" s="155"/>
      <c r="I20" s="7">
        <v>1.5</v>
      </c>
      <c r="J20" s="154" t="s">
        <v>671</v>
      </c>
      <c r="K20" s="155"/>
      <c r="L20" s="7">
        <v>0.5</v>
      </c>
      <c r="M20" s="154" t="s">
        <v>703</v>
      </c>
      <c r="N20" s="155"/>
      <c r="O20" s="7">
        <v>0.5</v>
      </c>
      <c r="P20" s="154" t="s">
        <v>672</v>
      </c>
      <c r="Q20" s="155"/>
      <c r="R20" s="7">
        <v>1.5</v>
      </c>
    </row>
    <row r="21" spans="2:18" ht="18.75" customHeight="1">
      <c r="B21" s="150"/>
      <c r="C21" s="139"/>
      <c r="D21" s="157" t="s">
        <v>705</v>
      </c>
      <c r="E21" s="155"/>
      <c r="F21" s="7">
        <v>0.5</v>
      </c>
      <c r="G21" s="216" t="s">
        <v>700</v>
      </c>
      <c r="H21" s="163"/>
      <c r="I21" s="7">
        <v>1.25</v>
      </c>
      <c r="J21" s="154" t="s">
        <v>706</v>
      </c>
      <c r="K21" s="155"/>
      <c r="L21" s="7">
        <v>1.25</v>
      </c>
      <c r="M21" s="154" t="s">
        <v>701</v>
      </c>
      <c r="N21" s="155"/>
      <c r="O21" s="7">
        <v>2</v>
      </c>
      <c r="P21" s="154" t="s">
        <v>701</v>
      </c>
      <c r="Q21" s="155"/>
      <c r="R21" s="7">
        <v>1.5</v>
      </c>
    </row>
    <row r="22" spans="2:18" ht="18.75" customHeight="1">
      <c r="B22" s="150"/>
      <c r="C22" s="139"/>
      <c r="D22" s="157" t="s">
        <v>668</v>
      </c>
      <c r="E22" s="155"/>
      <c r="F22" s="7">
        <v>0.75</v>
      </c>
      <c r="G22" s="216" t="s">
        <v>725</v>
      </c>
      <c r="H22" s="163"/>
      <c r="I22" s="7">
        <v>1</v>
      </c>
      <c r="J22" s="154" t="s">
        <v>725</v>
      </c>
      <c r="K22" s="155"/>
      <c r="L22" s="7">
        <v>1.5</v>
      </c>
      <c r="M22" s="154" t="s">
        <v>661</v>
      </c>
      <c r="N22" s="155"/>
      <c r="O22" s="7">
        <v>1.5</v>
      </c>
      <c r="P22" s="154" t="s">
        <v>707</v>
      </c>
      <c r="Q22" s="155"/>
      <c r="R22" s="7">
        <v>0.75</v>
      </c>
    </row>
    <row r="23" spans="2:18" ht="18.75" customHeight="1">
      <c r="B23" s="150"/>
      <c r="C23" s="139"/>
      <c r="D23" s="157" t="s">
        <v>725</v>
      </c>
      <c r="E23" s="155"/>
      <c r="F23" s="7">
        <v>1</v>
      </c>
      <c r="G23" s="154"/>
      <c r="H23" s="155"/>
      <c r="I23" s="7"/>
      <c r="J23" s="154"/>
      <c r="K23" s="155"/>
      <c r="L23" s="7"/>
      <c r="M23" s="154"/>
      <c r="N23" s="155"/>
      <c r="O23" s="7"/>
      <c r="P23" s="154" t="s">
        <v>661</v>
      </c>
      <c r="Q23" s="155"/>
      <c r="R23" s="7">
        <v>1.5</v>
      </c>
    </row>
    <row r="24" spans="2:18" ht="19.5" customHeight="1" thickBot="1">
      <c r="B24" s="150"/>
      <c r="C24" s="140"/>
      <c r="D24" s="157" t="s">
        <v>110</v>
      </c>
      <c r="E24" s="155"/>
      <c r="F24" s="7"/>
      <c r="G24" s="161" t="s">
        <v>110</v>
      </c>
      <c r="H24" s="159"/>
      <c r="I24" s="9"/>
      <c r="J24" s="161" t="s">
        <v>110</v>
      </c>
      <c r="K24" s="159"/>
      <c r="L24" s="9"/>
      <c r="M24" s="161" t="s">
        <v>110</v>
      </c>
      <c r="N24" s="159"/>
      <c r="O24" s="9"/>
      <c r="P24" s="161" t="s">
        <v>110</v>
      </c>
      <c r="Q24" s="159"/>
      <c r="R24" s="9"/>
    </row>
    <row r="25" spans="2:18" ht="19.5" thickBot="1">
      <c r="B25" s="151"/>
      <c r="C25" s="18" t="s">
        <v>76</v>
      </c>
      <c r="D25" s="17"/>
      <c r="E25" s="17"/>
      <c r="F25" s="18">
        <f>SUM(F15:F24)</f>
        <v>7</v>
      </c>
      <c r="G25" s="17"/>
      <c r="H25" s="17"/>
      <c r="I25" s="18">
        <f>SUM(I15:I24)</f>
        <v>7</v>
      </c>
      <c r="J25" s="17"/>
      <c r="K25" s="17"/>
      <c r="L25" s="18">
        <f>SUM(L15:L24)</f>
        <v>7</v>
      </c>
      <c r="M25" s="17"/>
      <c r="N25" s="17"/>
      <c r="O25" s="18">
        <f>SUM(O15:O24)</f>
        <v>7</v>
      </c>
      <c r="P25" s="17"/>
      <c r="Q25" s="17"/>
      <c r="R25" s="18">
        <f>SUM(R15:R24)</f>
        <v>7</v>
      </c>
    </row>
  </sheetData>
  <mergeCells count="124"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  <mergeCell ref="Q2:Q3"/>
    <mergeCell ref="R2:R3"/>
    <mergeCell ref="B4:B14"/>
    <mergeCell ref="C4:C8"/>
    <mergeCell ref="D4:E4"/>
    <mergeCell ref="G4:H4"/>
    <mergeCell ref="J4:K4"/>
    <mergeCell ref="M4:N4"/>
    <mergeCell ref="P4:Q4"/>
    <mergeCell ref="D5:E5"/>
    <mergeCell ref="K2:K3"/>
    <mergeCell ref="L2:L3"/>
    <mergeCell ref="M2:M3"/>
    <mergeCell ref="N2:N3"/>
    <mergeCell ref="O2:O3"/>
    <mergeCell ref="P2:P3"/>
    <mergeCell ref="G5:H5"/>
    <mergeCell ref="J5:K5"/>
    <mergeCell ref="M5:N5"/>
    <mergeCell ref="P5:Q5"/>
    <mergeCell ref="D6:E6"/>
    <mergeCell ref="G6:H6"/>
    <mergeCell ref="J6:K6"/>
    <mergeCell ref="M6:N6"/>
    <mergeCell ref="P6:Q6"/>
    <mergeCell ref="D7:E7"/>
    <mergeCell ref="G7:H7"/>
    <mergeCell ref="J7:K7"/>
    <mergeCell ref="M7:N7"/>
    <mergeCell ref="P7:Q7"/>
    <mergeCell ref="D8:E8"/>
    <mergeCell ref="G8:H8"/>
    <mergeCell ref="J8:K8"/>
    <mergeCell ref="M8:N8"/>
    <mergeCell ref="P8:Q8"/>
    <mergeCell ref="P10:Q10"/>
    <mergeCell ref="D11:E11"/>
    <mergeCell ref="G11:H11"/>
    <mergeCell ref="J11:K11"/>
    <mergeCell ref="M11:N11"/>
    <mergeCell ref="P11:Q11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2:E12"/>
    <mergeCell ref="G12:H12"/>
    <mergeCell ref="J12:K12"/>
    <mergeCell ref="M12:N12"/>
    <mergeCell ref="P12:Q12"/>
    <mergeCell ref="D13:E13"/>
    <mergeCell ref="G13:H13"/>
    <mergeCell ref="J13:K13"/>
    <mergeCell ref="M13:N13"/>
    <mergeCell ref="P13:Q13"/>
    <mergeCell ref="P15:Q15"/>
    <mergeCell ref="D16:E16"/>
    <mergeCell ref="G16:H16"/>
    <mergeCell ref="J16:K16"/>
    <mergeCell ref="M16:N16"/>
    <mergeCell ref="P16:Q16"/>
    <mergeCell ref="B15:B25"/>
    <mergeCell ref="C15:C19"/>
    <mergeCell ref="D15:E15"/>
    <mergeCell ref="G15:H15"/>
    <mergeCell ref="J15:K15"/>
    <mergeCell ref="M15:N15"/>
    <mergeCell ref="D17:E17"/>
    <mergeCell ref="G17:H17"/>
    <mergeCell ref="J17:K17"/>
    <mergeCell ref="M17:N17"/>
    <mergeCell ref="C20:C24"/>
    <mergeCell ref="D20:E20"/>
    <mergeCell ref="G20:H20"/>
    <mergeCell ref="J20:K20"/>
    <mergeCell ref="M20:N20"/>
    <mergeCell ref="P17:Q17"/>
    <mergeCell ref="D18:E18"/>
    <mergeCell ref="G18:H18"/>
    <mergeCell ref="J18:K18"/>
    <mergeCell ref="M18:N18"/>
    <mergeCell ref="P18:Q18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D24:E24"/>
    <mergeCell ref="G24:H24"/>
    <mergeCell ref="J24:K24"/>
    <mergeCell ref="M24:N24"/>
    <mergeCell ref="P24:Q24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</mergeCells>
  <phoneticPr fontId="1"/>
  <pageMargins left="0.7" right="0.7" top="0.75" bottom="0.75" header="0.3" footer="0.3"/>
  <pageSetup paperSize="8" scale="68" orientation="landscape" horizontalDpi="1200" verticalDpi="1200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EE038-153B-4C0D-94C7-91D6D9B0389C}">
  <sheetPr codeName="Sheet16"/>
  <dimension ref="B1:S25"/>
  <sheetViews>
    <sheetView view="pageBreakPreview" zoomScale="60" zoomScaleNormal="70" workbookViewId="0">
      <selection activeCell="G18" sqref="G18:H18"/>
    </sheetView>
  </sheetViews>
  <sheetFormatPr defaultRowHeight="18.75"/>
  <cols>
    <col min="1" max="1" width="2.5" customWidth="1"/>
    <col min="4" max="18" width="16" customWidth="1"/>
  </cols>
  <sheetData>
    <row r="1" spans="2:19" ht="24.75" thickBot="1">
      <c r="D1" s="53">
        <v>45719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19" s="5" customFormat="1">
      <c r="B2" s="201"/>
      <c r="C2" s="202"/>
      <c r="D2" s="205">
        <f>D1</f>
        <v>45719</v>
      </c>
      <c r="E2" s="195" t="s">
        <v>3</v>
      </c>
      <c r="F2" s="191" t="s">
        <v>4</v>
      </c>
      <c r="G2" s="197">
        <f>D2+1</f>
        <v>45720</v>
      </c>
      <c r="H2" s="195" t="s">
        <v>5</v>
      </c>
      <c r="I2" s="191" t="s">
        <v>4</v>
      </c>
      <c r="J2" s="197">
        <f>G2+1</f>
        <v>45721</v>
      </c>
      <c r="K2" s="195" t="s">
        <v>6</v>
      </c>
      <c r="L2" s="191" t="s">
        <v>4</v>
      </c>
      <c r="M2" s="197">
        <f>J2+1</f>
        <v>45722</v>
      </c>
      <c r="N2" s="195" t="s">
        <v>7</v>
      </c>
      <c r="O2" s="191" t="s">
        <v>4</v>
      </c>
      <c r="P2" s="197">
        <f>M2+1</f>
        <v>45723</v>
      </c>
      <c r="Q2" s="195" t="s">
        <v>8</v>
      </c>
      <c r="R2" s="191" t="s">
        <v>4</v>
      </c>
    </row>
    <row r="3" spans="2:19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19" ht="18.75" customHeight="1">
      <c r="B4" s="149" t="s">
        <v>32</v>
      </c>
      <c r="C4" s="138" t="s">
        <v>9</v>
      </c>
      <c r="D4" s="231" t="s">
        <v>551</v>
      </c>
      <c r="E4" s="232"/>
      <c r="F4" s="61">
        <v>0.5</v>
      </c>
      <c r="G4" s="241" t="s">
        <v>166</v>
      </c>
      <c r="H4" s="232"/>
      <c r="I4" s="61">
        <v>0.5</v>
      </c>
      <c r="J4" s="241" t="s">
        <v>166</v>
      </c>
      <c r="K4" s="232"/>
      <c r="L4" s="61">
        <v>0.5</v>
      </c>
      <c r="M4" s="241" t="s">
        <v>166</v>
      </c>
      <c r="N4" s="232"/>
      <c r="O4" s="61">
        <v>0.5</v>
      </c>
      <c r="P4" s="231" t="s">
        <v>166</v>
      </c>
      <c r="Q4" s="232"/>
      <c r="R4" s="61">
        <v>0.5</v>
      </c>
      <c r="S4" s="95"/>
    </row>
    <row r="5" spans="2:19">
      <c r="B5" s="150"/>
      <c r="C5" s="139"/>
      <c r="D5" s="226" t="s">
        <v>675</v>
      </c>
      <c r="E5" s="234"/>
      <c r="F5" s="62">
        <v>0.05</v>
      </c>
      <c r="G5" s="253" t="s">
        <v>676</v>
      </c>
      <c r="H5" s="234"/>
      <c r="I5" s="62">
        <v>0.05</v>
      </c>
      <c r="J5" s="253" t="s">
        <v>677</v>
      </c>
      <c r="K5" s="234"/>
      <c r="L5" s="62">
        <v>0.05</v>
      </c>
      <c r="M5" s="253" t="s">
        <v>678</v>
      </c>
      <c r="N5" s="234"/>
      <c r="O5" s="62">
        <v>0.05</v>
      </c>
      <c r="P5" s="253" t="s">
        <v>679</v>
      </c>
      <c r="Q5" s="234"/>
      <c r="R5" s="62">
        <v>0.05</v>
      </c>
      <c r="S5" s="95"/>
    </row>
    <row r="6" spans="2:19">
      <c r="B6" s="150"/>
      <c r="C6" s="139"/>
      <c r="D6" s="226" t="s">
        <v>680</v>
      </c>
      <c r="E6" s="227"/>
      <c r="F6" s="94">
        <v>1</v>
      </c>
      <c r="G6" s="253" t="s">
        <v>681</v>
      </c>
      <c r="H6" s="227"/>
      <c r="I6" s="94">
        <v>2.2000000000000002</v>
      </c>
      <c r="J6" s="253" t="s">
        <v>681</v>
      </c>
      <c r="K6" s="227"/>
      <c r="L6" s="94">
        <v>2.4500000000000002</v>
      </c>
      <c r="M6" s="253" t="s">
        <v>681</v>
      </c>
      <c r="N6" s="227"/>
      <c r="O6" s="94">
        <v>2.4500000000000002</v>
      </c>
      <c r="P6" s="253" t="s">
        <v>682</v>
      </c>
      <c r="Q6" s="227"/>
      <c r="R6" s="66">
        <v>0.5</v>
      </c>
      <c r="S6" s="95"/>
    </row>
    <row r="7" spans="2:19">
      <c r="B7" s="150"/>
      <c r="C7" s="139"/>
      <c r="D7" s="226" t="s">
        <v>683</v>
      </c>
      <c r="E7" s="227"/>
      <c r="F7" s="94">
        <v>1.45</v>
      </c>
      <c r="G7" s="253"/>
      <c r="H7" s="227"/>
      <c r="I7" s="94"/>
      <c r="J7" s="226"/>
      <c r="K7" s="227"/>
      <c r="L7" s="94"/>
      <c r="M7" s="226"/>
      <c r="N7" s="227"/>
      <c r="O7" s="94"/>
      <c r="P7" s="226" t="s">
        <v>684</v>
      </c>
      <c r="Q7" s="227"/>
      <c r="R7" s="94">
        <v>1</v>
      </c>
      <c r="S7" s="8"/>
    </row>
    <row r="8" spans="2:19" ht="19.5" thickBot="1">
      <c r="B8" s="150"/>
      <c r="C8" s="140"/>
      <c r="D8" s="229"/>
      <c r="E8" s="230"/>
      <c r="F8" s="68"/>
      <c r="G8" s="229" t="s">
        <v>685</v>
      </c>
      <c r="H8" s="230"/>
      <c r="I8" s="68">
        <v>0.25</v>
      </c>
      <c r="J8" s="229"/>
      <c r="K8" s="230"/>
      <c r="L8" s="68"/>
      <c r="M8" s="229" t="s">
        <v>239</v>
      </c>
      <c r="N8" s="240"/>
      <c r="O8" s="93">
        <v>0.25</v>
      </c>
      <c r="P8" s="229" t="s">
        <v>686</v>
      </c>
      <c r="Q8" s="230"/>
      <c r="R8" s="68">
        <v>0.95</v>
      </c>
      <c r="S8" s="96"/>
    </row>
    <row r="9" spans="2:19" ht="18.75" customHeight="1">
      <c r="B9" s="150"/>
      <c r="C9" s="138" t="s">
        <v>20</v>
      </c>
      <c r="D9" s="226" t="s">
        <v>687</v>
      </c>
      <c r="E9" s="227"/>
      <c r="F9" s="94">
        <v>1</v>
      </c>
      <c r="G9" s="226" t="s">
        <v>688</v>
      </c>
      <c r="H9" s="227"/>
      <c r="I9" s="94">
        <v>1.5</v>
      </c>
      <c r="J9" s="226" t="s">
        <v>689</v>
      </c>
      <c r="K9" s="227"/>
      <c r="L9" s="94">
        <v>1.5</v>
      </c>
      <c r="M9" s="226" t="s">
        <v>689</v>
      </c>
      <c r="N9" s="227"/>
      <c r="O9" s="94">
        <v>2.25</v>
      </c>
      <c r="P9" s="226" t="s">
        <v>690</v>
      </c>
      <c r="Q9" s="227"/>
      <c r="R9" s="94">
        <v>3.5</v>
      </c>
      <c r="S9" s="11"/>
    </row>
    <row r="10" spans="2:19" ht="18.75" customHeight="1">
      <c r="B10" s="150"/>
      <c r="C10" s="139"/>
      <c r="D10" s="226" t="s">
        <v>691</v>
      </c>
      <c r="E10" s="227"/>
      <c r="F10" s="94">
        <v>2.5</v>
      </c>
      <c r="G10" s="226" t="s">
        <v>692</v>
      </c>
      <c r="H10" s="227"/>
      <c r="I10" s="94">
        <v>2</v>
      </c>
      <c r="J10" s="226" t="s">
        <v>693</v>
      </c>
      <c r="K10" s="227"/>
      <c r="L10" s="94">
        <v>0.5</v>
      </c>
      <c r="M10" s="226"/>
      <c r="N10" s="227"/>
      <c r="O10" s="94"/>
      <c r="P10" s="226"/>
      <c r="Q10" s="227"/>
      <c r="R10" s="94"/>
      <c r="S10" s="11"/>
    </row>
    <row r="11" spans="2:19" ht="18.75" customHeight="1">
      <c r="B11" s="150"/>
      <c r="C11" s="139"/>
      <c r="D11" s="253"/>
      <c r="E11" s="227"/>
      <c r="F11" s="94"/>
      <c r="G11" s="226"/>
      <c r="H11" s="227"/>
      <c r="I11" s="94"/>
      <c r="J11" s="226" t="s">
        <v>694</v>
      </c>
      <c r="K11" s="227"/>
      <c r="L11" s="94">
        <v>1.5</v>
      </c>
      <c r="M11" s="253" t="s">
        <v>682</v>
      </c>
      <c r="N11" s="227"/>
      <c r="O11" s="66">
        <v>1</v>
      </c>
      <c r="P11" s="253"/>
      <c r="Q11" s="227"/>
      <c r="R11" s="94"/>
      <c r="S11" s="96"/>
    </row>
    <row r="12" spans="2:19" ht="18.75" customHeight="1">
      <c r="B12" s="150"/>
      <c r="C12" s="139"/>
      <c r="D12" s="253" t="s">
        <v>695</v>
      </c>
      <c r="E12" s="227"/>
      <c r="F12" s="94">
        <v>0.5</v>
      </c>
      <c r="G12" s="253" t="s">
        <v>695</v>
      </c>
      <c r="H12" s="227"/>
      <c r="I12" s="94">
        <v>0.5</v>
      </c>
      <c r="J12" s="253" t="s">
        <v>695</v>
      </c>
      <c r="K12" s="227"/>
      <c r="L12" s="94">
        <v>0.5</v>
      </c>
      <c r="M12" s="253" t="s">
        <v>695</v>
      </c>
      <c r="N12" s="227"/>
      <c r="O12" s="94">
        <v>0.5</v>
      </c>
      <c r="P12" s="253" t="s">
        <v>695</v>
      </c>
      <c r="Q12" s="227"/>
      <c r="R12" s="94">
        <v>0.5</v>
      </c>
      <c r="S12" s="96"/>
    </row>
    <row r="13" spans="2:19" ht="19.5" customHeight="1" thickBot="1">
      <c r="B13" s="150"/>
      <c r="C13" s="140"/>
      <c r="D13" s="250" t="s">
        <v>696</v>
      </c>
      <c r="E13" s="228"/>
      <c r="F13" s="60">
        <v>0.75</v>
      </c>
      <c r="G13" s="250" t="s">
        <v>696</v>
      </c>
      <c r="H13" s="228"/>
      <c r="I13" s="60">
        <v>0.75</v>
      </c>
      <c r="J13" s="250" t="s">
        <v>696</v>
      </c>
      <c r="K13" s="228"/>
      <c r="L13" s="93">
        <v>0.75</v>
      </c>
      <c r="M13" s="250" t="s">
        <v>696</v>
      </c>
      <c r="N13" s="228"/>
      <c r="O13" s="60">
        <v>0.75</v>
      </c>
      <c r="P13" s="250" t="s">
        <v>696</v>
      </c>
      <c r="Q13" s="228"/>
      <c r="R13" s="60">
        <v>0.75</v>
      </c>
    </row>
    <row r="14" spans="2:19" ht="19.5" thickBot="1">
      <c r="B14" s="151"/>
      <c r="C14" s="18" t="s">
        <v>76</v>
      </c>
      <c r="D14" s="17"/>
      <c r="E14" s="17"/>
      <c r="F14" s="18">
        <f>SUM(F4:F13)</f>
        <v>7.75</v>
      </c>
      <c r="G14" s="17"/>
      <c r="H14" s="17"/>
      <c r="I14" s="18">
        <f>SUM(I4:I13)</f>
        <v>7.75</v>
      </c>
      <c r="J14" s="17"/>
      <c r="K14" s="17"/>
      <c r="L14" s="18">
        <f>SUM(L4:L13)</f>
        <v>7.75</v>
      </c>
      <c r="M14" s="17"/>
      <c r="N14" s="17"/>
      <c r="O14" s="18">
        <f>SUM(O4:O13)</f>
        <v>7.75</v>
      </c>
      <c r="P14" s="17"/>
      <c r="Q14" s="17"/>
      <c r="R14" s="18">
        <f>SUM(R4:R13)</f>
        <v>7.75</v>
      </c>
    </row>
    <row r="15" spans="2:19" ht="18.75" customHeight="1">
      <c r="B15" s="149" t="s">
        <v>65</v>
      </c>
      <c r="C15" s="138" t="s">
        <v>9</v>
      </c>
      <c r="D15" s="152" t="s">
        <v>662</v>
      </c>
      <c r="E15" s="153"/>
      <c r="F15" s="6">
        <v>1.5</v>
      </c>
      <c r="G15" s="216" t="s">
        <v>663</v>
      </c>
      <c r="H15" s="163"/>
      <c r="I15" s="6">
        <v>1.5</v>
      </c>
      <c r="J15" s="154" t="s">
        <v>474</v>
      </c>
      <c r="K15" s="155"/>
      <c r="L15" s="6">
        <v>3</v>
      </c>
      <c r="M15" s="154" t="s">
        <v>474</v>
      </c>
      <c r="N15" s="155"/>
      <c r="O15" s="6">
        <v>3</v>
      </c>
      <c r="P15" s="156" t="s">
        <v>671</v>
      </c>
      <c r="Q15" s="153"/>
      <c r="R15" s="6">
        <v>0.25</v>
      </c>
    </row>
    <row r="16" spans="2:19" ht="18.75" customHeight="1">
      <c r="B16" s="150"/>
      <c r="C16" s="139"/>
      <c r="D16" s="157" t="s">
        <v>664</v>
      </c>
      <c r="E16" s="155"/>
      <c r="F16" s="7">
        <v>1.25</v>
      </c>
      <c r="G16" s="154" t="s">
        <v>665</v>
      </c>
      <c r="H16" s="155"/>
      <c r="I16" s="7">
        <v>1</v>
      </c>
      <c r="J16" s="154"/>
      <c r="K16" s="155"/>
      <c r="L16" s="7"/>
      <c r="M16" s="154"/>
      <c r="N16" s="155"/>
      <c r="O16" s="7"/>
      <c r="P16" s="154" t="s">
        <v>474</v>
      </c>
      <c r="Q16" s="155"/>
      <c r="R16" s="7">
        <v>2.25</v>
      </c>
    </row>
    <row r="17" spans="2:18" ht="18.75" customHeight="1">
      <c r="B17" s="150"/>
      <c r="C17" s="139"/>
      <c r="D17" s="157" t="s">
        <v>666</v>
      </c>
      <c r="E17" s="155"/>
      <c r="F17" s="7">
        <v>1</v>
      </c>
      <c r="G17" s="216" t="s">
        <v>672</v>
      </c>
      <c r="H17" s="163"/>
      <c r="I17" s="7">
        <v>1</v>
      </c>
      <c r="J17" s="154"/>
      <c r="K17" s="155"/>
      <c r="L17" s="7"/>
      <c r="M17" s="154"/>
      <c r="N17" s="155"/>
      <c r="O17" s="7"/>
      <c r="P17" s="154" t="s">
        <v>667</v>
      </c>
      <c r="Q17" s="155"/>
      <c r="R17" s="7">
        <v>0.5</v>
      </c>
    </row>
    <row r="18" spans="2:18" ht="18.75" customHeight="1">
      <c r="B18" s="150"/>
      <c r="C18" s="139"/>
      <c r="D18" s="221"/>
      <c r="E18" s="222"/>
      <c r="F18" s="7"/>
      <c r="G18" s="154"/>
      <c r="H18" s="155"/>
      <c r="I18" s="12"/>
      <c r="J18" s="154"/>
      <c r="K18" s="155"/>
      <c r="L18" s="12"/>
      <c r="M18" s="154"/>
      <c r="N18" s="155"/>
      <c r="O18" s="12"/>
      <c r="P18" s="154"/>
      <c r="Q18" s="155"/>
      <c r="R18" s="12"/>
    </row>
    <row r="19" spans="2:18" ht="19.5" customHeight="1" thickBot="1">
      <c r="B19" s="150"/>
      <c r="C19" s="140"/>
      <c r="D19" s="158"/>
      <c r="E19" s="159"/>
      <c r="F19" s="9"/>
      <c r="G19" s="161"/>
      <c r="H19" s="159"/>
      <c r="I19" s="9"/>
      <c r="J19" s="161"/>
      <c r="K19" s="159"/>
      <c r="L19" s="9"/>
      <c r="M19" s="161"/>
      <c r="N19" s="159"/>
      <c r="O19" s="9"/>
      <c r="P19" s="161"/>
      <c r="Q19" s="159"/>
      <c r="R19" s="9"/>
    </row>
    <row r="20" spans="2:18" ht="18.75" customHeight="1">
      <c r="B20" s="150"/>
      <c r="C20" s="138" t="s">
        <v>20</v>
      </c>
      <c r="D20" s="152" t="s">
        <v>668</v>
      </c>
      <c r="E20" s="153"/>
      <c r="F20" s="6">
        <v>1</v>
      </c>
      <c r="G20" s="154" t="s">
        <v>669</v>
      </c>
      <c r="H20" s="155"/>
      <c r="I20" s="7">
        <v>1</v>
      </c>
      <c r="J20" s="154" t="s">
        <v>671</v>
      </c>
      <c r="K20" s="155"/>
      <c r="L20" s="7">
        <v>0.5</v>
      </c>
      <c r="M20" s="154" t="s">
        <v>474</v>
      </c>
      <c r="N20" s="155"/>
      <c r="O20" s="7">
        <v>3.5</v>
      </c>
      <c r="P20" s="154" t="s">
        <v>474</v>
      </c>
      <c r="Q20" s="155"/>
      <c r="R20" s="7">
        <v>4</v>
      </c>
    </row>
    <row r="21" spans="2:18" ht="18.75" customHeight="1">
      <c r="B21" s="150"/>
      <c r="C21" s="139"/>
      <c r="D21" s="157" t="s">
        <v>673</v>
      </c>
      <c r="E21" s="155"/>
      <c r="F21" s="7">
        <v>0.75</v>
      </c>
      <c r="G21" s="216" t="s">
        <v>674</v>
      </c>
      <c r="H21" s="163"/>
      <c r="I21" s="7">
        <v>1</v>
      </c>
      <c r="J21" s="154" t="s">
        <v>474</v>
      </c>
      <c r="K21" s="155"/>
      <c r="L21" s="7">
        <v>3.5</v>
      </c>
      <c r="M21" s="154" t="s">
        <v>670</v>
      </c>
      <c r="N21" s="155"/>
      <c r="O21" s="7">
        <v>0.5</v>
      </c>
      <c r="P21" s="154"/>
      <c r="Q21" s="155"/>
      <c r="R21" s="7"/>
    </row>
    <row r="22" spans="2:18" ht="18.75" customHeight="1">
      <c r="B22" s="150"/>
      <c r="C22" s="139"/>
      <c r="D22" s="157" t="s">
        <v>661</v>
      </c>
      <c r="E22" s="155"/>
      <c r="F22" s="7">
        <v>1.5</v>
      </c>
      <c r="G22" s="216" t="s">
        <v>661</v>
      </c>
      <c r="H22" s="163"/>
      <c r="I22" s="7">
        <v>1.5</v>
      </c>
      <c r="J22" s="154"/>
      <c r="K22" s="155"/>
      <c r="L22" s="7"/>
      <c r="M22" s="154"/>
      <c r="N22" s="155"/>
      <c r="O22" s="7"/>
      <c r="P22" s="154"/>
      <c r="Q22" s="155"/>
      <c r="R22" s="7"/>
    </row>
    <row r="23" spans="2:18" ht="18.75" customHeight="1">
      <c r="B23" s="150"/>
      <c r="C23" s="139"/>
      <c r="D23" s="157"/>
      <c r="E23" s="155"/>
      <c r="F23" s="7"/>
      <c r="G23" s="154"/>
      <c r="H23" s="155"/>
      <c r="I23" s="7"/>
      <c r="J23" s="154"/>
      <c r="K23" s="155"/>
      <c r="L23" s="7"/>
      <c r="M23" s="154"/>
      <c r="N23" s="155"/>
      <c r="O23" s="7"/>
      <c r="P23" s="154"/>
      <c r="Q23" s="155"/>
      <c r="R23" s="7"/>
    </row>
    <row r="24" spans="2:18" ht="19.5" customHeight="1" thickBot="1">
      <c r="B24" s="150"/>
      <c r="C24" s="140"/>
      <c r="D24" s="157" t="s">
        <v>110</v>
      </c>
      <c r="E24" s="155"/>
      <c r="F24" s="7"/>
      <c r="G24" s="161" t="s">
        <v>110</v>
      </c>
      <c r="H24" s="159"/>
      <c r="I24" s="9"/>
      <c r="J24" s="161" t="s">
        <v>110</v>
      </c>
      <c r="K24" s="159"/>
      <c r="L24" s="9"/>
      <c r="M24" s="161" t="s">
        <v>110</v>
      </c>
      <c r="N24" s="159"/>
      <c r="O24" s="9"/>
      <c r="P24" s="161" t="s">
        <v>110</v>
      </c>
      <c r="Q24" s="159"/>
      <c r="R24" s="9"/>
    </row>
    <row r="25" spans="2:18" ht="19.5" thickBot="1">
      <c r="B25" s="151"/>
      <c r="C25" s="18" t="s">
        <v>76</v>
      </c>
      <c r="D25" s="17"/>
      <c r="E25" s="17"/>
      <c r="F25" s="18">
        <f>SUM(F15:F24)</f>
        <v>7</v>
      </c>
      <c r="G25" s="17"/>
      <c r="H25" s="17"/>
      <c r="I25" s="18">
        <f>SUM(I15:I24)</f>
        <v>7</v>
      </c>
      <c r="J25" s="17"/>
      <c r="K25" s="17"/>
      <c r="L25" s="18">
        <f>SUM(L15:L24)</f>
        <v>7</v>
      </c>
      <c r="M25" s="17"/>
      <c r="N25" s="17"/>
      <c r="O25" s="18">
        <f>SUM(O15:O24)</f>
        <v>7</v>
      </c>
      <c r="P25" s="17"/>
      <c r="Q25" s="17"/>
      <c r="R25" s="18">
        <f>SUM(R15:R24)</f>
        <v>7</v>
      </c>
    </row>
  </sheetData>
  <mergeCells count="124"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  <mergeCell ref="Q2:Q3"/>
    <mergeCell ref="R2:R3"/>
    <mergeCell ref="B4:B14"/>
    <mergeCell ref="C4:C8"/>
    <mergeCell ref="D4:E4"/>
    <mergeCell ref="G4:H4"/>
    <mergeCell ref="J4:K4"/>
    <mergeCell ref="M4:N4"/>
    <mergeCell ref="P4:Q4"/>
    <mergeCell ref="D5:E5"/>
    <mergeCell ref="K2:K3"/>
    <mergeCell ref="L2:L3"/>
    <mergeCell ref="M2:M3"/>
    <mergeCell ref="N2:N3"/>
    <mergeCell ref="O2:O3"/>
    <mergeCell ref="P2:P3"/>
    <mergeCell ref="G5:H5"/>
    <mergeCell ref="J5:K5"/>
    <mergeCell ref="M5:N5"/>
    <mergeCell ref="P5:Q5"/>
    <mergeCell ref="D6:E6"/>
    <mergeCell ref="G6:H6"/>
    <mergeCell ref="J6:K6"/>
    <mergeCell ref="M6:N6"/>
    <mergeCell ref="P6:Q6"/>
    <mergeCell ref="D7:E7"/>
    <mergeCell ref="G7:H7"/>
    <mergeCell ref="J7:K7"/>
    <mergeCell ref="M7:N7"/>
    <mergeCell ref="P7:Q7"/>
    <mergeCell ref="D8:E8"/>
    <mergeCell ref="G8:H8"/>
    <mergeCell ref="J8:K8"/>
    <mergeCell ref="M8:N8"/>
    <mergeCell ref="P8:Q8"/>
    <mergeCell ref="P10:Q10"/>
    <mergeCell ref="D11:E11"/>
    <mergeCell ref="G11:H11"/>
    <mergeCell ref="J11:K11"/>
    <mergeCell ref="M11:N11"/>
    <mergeCell ref="P11:Q11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2:E12"/>
    <mergeCell ref="G12:H12"/>
    <mergeCell ref="J12:K12"/>
    <mergeCell ref="M12:N12"/>
    <mergeCell ref="P12:Q12"/>
    <mergeCell ref="D13:E13"/>
    <mergeCell ref="G13:H13"/>
    <mergeCell ref="J13:K13"/>
    <mergeCell ref="M13:N13"/>
    <mergeCell ref="P13:Q13"/>
    <mergeCell ref="P15:Q15"/>
    <mergeCell ref="D16:E16"/>
    <mergeCell ref="G16:H16"/>
    <mergeCell ref="J16:K16"/>
    <mergeCell ref="M16:N16"/>
    <mergeCell ref="P16:Q16"/>
    <mergeCell ref="B15:B25"/>
    <mergeCell ref="C15:C19"/>
    <mergeCell ref="D15:E15"/>
    <mergeCell ref="G15:H15"/>
    <mergeCell ref="J15:K15"/>
    <mergeCell ref="M15:N15"/>
    <mergeCell ref="D17:E17"/>
    <mergeCell ref="G17:H17"/>
    <mergeCell ref="J17:K17"/>
    <mergeCell ref="M17:N17"/>
    <mergeCell ref="C20:C24"/>
    <mergeCell ref="D20:E20"/>
    <mergeCell ref="G20:H20"/>
    <mergeCell ref="J20:K20"/>
    <mergeCell ref="M20:N20"/>
    <mergeCell ref="P17:Q17"/>
    <mergeCell ref="D18:E18"/>
    <mergeCell ref="G18:H18"/>
    <mergeCell ref="J18:K18"/>
    <mergeCell ref="M18:N18"/>
    <mergeCell ref="P18:Q18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D24:E24"/>
    <mergeCell ref="G24:H24"/>
    <mergeCell ref="J24:K24"/>
    <mergeCell ref="M24:N24"/>
    <mergeCell ref="P24:Q24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</mergeCells>
  <phoneticPr fontId="1"/>
  <pageMargins left="0.7" right="0.7" top="0.75" bottom="0.75" header="0.3" footer="0.3"/>
  <pageSetup paperSize="8" scale="67" orientation="landscape" horizontalDpi="1200" verticalDpi="1200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90AA-93AE-422C-9DAD-B692490C8C36}">
  <sheetPr codeName="Sheet17"/>
  <dimension ref="B1:S27"/>
  <sheetViews>
    <sheetView view="pageBreakPreview" topLeftCell="A4" zoomScale="85" zoomScaleNormal="100" zoomScaleSheetLayoutView="85" workbookViewId="0">
      <selection activeCell="G18" sqref="G18:H18"/>
    </sheetView>
  </sheetViews>
  <sheetFormatPr defaultRowHeight="18.75"/>
  <cols>
    <col min="1" max="1" width="2.5" customWidth="1"/>
    <col min="4" max="18" width="16" customWidth="1"/>
  </cols>
  <sheetData>
    <row r="1" spans="2:19" ht="24.75" thickBot="1">
      <c r="D1" s="53">
        <v>45712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19" s="5" customFormat="1">
      <c r="B2" s="201"/>
      <c r="C2" s="202"/>
      <c r="D2" s="205">
        <f>D1</f>
        <v>45712</v>
      </c>
      <c r="E2" s="195" t="s">
        <v>3</v>
      </c>
      <c r="F2" s="191" t="s">
        <v>4</v>
      </c>
      <c r="G2" s="197">
        <f>D2+1</f>
        <v>45713</v>
      </c>
      <c r="H2" s="195" t="s">
        <v>5</v>
      </c>
      <c r="I2" s="191" t="s">
        <v>4</v>
      </c>
      <c r="J2" s="197">
        <f>G2+1</f>
        <v>45714</v>
      </c>
      <c r="K2" s="195" t="s">
        <v>6</v>
      </c>
      <c r="L2" s="191" t="s">
        <v>4</v>
      </c>
      <c r="M2" s="197">
        <f>J2+1</f>
        <v>45715</v>
      </c>
      <c r="N2" s="195" t="s">
        <v>7</v>
      </c>
      <c r="O2" s="191" t="s">
        <v>4</v>
      </c>
      <c r="P2" s="197">
        <f>M2+1</f>
        <v>45716</v>
      </c>
      <c r="Q2" s="195" t="s">
        <v>8</v>
      </c>
      <c r="R2" s="191" t="s">
        <v>4</v>
      </c>
    </row>
    <row r="3" spans="2:19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19" ht="18.75" customHeight="1">
      <c r="B4" s="149" t="s">
        <v>32</v>
      </c>
      <c r="C4" s="138" t="s">
        <v>9</v>
      </c>
      <c r="D4" s="231"/>
      <c r="E4" s="232"/>
      <c r="F4" s="61"/>
      <c r="G4" s="231" t="s">
        <v>166</v>
      </c>
      <c r="H4" s="232"/>
      <c r="I4" s="61">
        <v>0.5</v>
      </c>
      <c r="J4" s="241" t="s">
        <v>166</v>
      </c>
      <c r="K4" s="232"/>
      <c r="L4" s="61">
        <v>0.5</v>
      </c>
      <c r="M4" s="241" t="s">
        <v>166</v>
      </c>
      <c r="N4" s="232"/>
      <c r="O4" s="61">
        <v>0.5</v>
      </c>
      <c r="P4" s="231" t="s">
        <v>166</v>
      </c>
      <c r="Q4" s="232"/>
      <c r="R4" s="61">
        <v>0.5</v>
      </c>
      <c r="S4" s="95"/>
    </row>
    <row r="5" spans="2:19">
      <c r="B5" s="150"/>
      <c r="C5" s="139"/>
      <c r="D5" s="233"/>
      <c r="E5" s="234"/>
      <c r="F5" s="62"/>
      <c r="G5" s="233" t="s">
        <v>546</v>
      </c>
      <c r="H5" s="234"/>
      <c r="I5" s="62">
        <v>0.15</v>
      </c>
      <c r="J5" s="183" t="s">
        <v>231</v>
      </c>
      <c r="K5" s="234"/>
      <c r="L5" s="62">
        <v>0.15</v>
      </c>
      <c r="M5" s="183" t="s">
        <v>232</v>
      </c>
      <c r="N5" s="234"/>
      <c r="O5" s="62">
        <v>0.15</v>
      </c>
      <c r="P5" s="183" t="s">
        <v>512</v>
      </c>
      <c r="Q5" s="234"/>
      <c r="R5" s="62">
        <v>0.15</v>
      </c>
      <c r="S5" s="95"/>
    </row>
    <row r="6" spans="2:19">
      <c r="B6" s="150"/>
      <c r="C6" s="139"/>
      <c r="D6" s="226"/>
      <c r="E6" s="227"/>
      <c r="F6" s="94"/>
      <c r="G6" s="226" t="s">
        <v>643</v>
      </c>
      <c r="H6" s="227"/>
      <c r="I6" s="94">
        <v>1</v>
      </c>
      <c r="J6" s="226" t="s">
        <v>644</v>
      </c>
      <c r="K6" s="227"/>
      <c r="L6" s="94">
        <v>1</v>
      </c>
      <c r="M6" s="183" t="s">
        <v>644</v>
      </c>
      <c r="N6" s="184"/>
      <c r="O6" s="94">
        <v>1</v>
      </c>
      <c r="P6" s="183" t="s">
        <v>611</v>
      </c>
      <c r="Q6" s="184"/>
      <c r="R6" s="66">
        <v>0.5</v>
      </c>
      <c r="S6" s="95"/>
    </row>
    <row r="7" spans="2:19">
      <c r="B7" s="150"/>
      <c r="C7" s="139"/>
      <c r="D7" s="226"/>
      <c r="E7" s="227"/>
      <c r="F7" s="94"/>
      <c r="G7" s="226" t="s">
        <v>553</v>
      </c>
      <c r="H7" s="227"/>
      <c r="I7" s="94">
        <v>1.35</v>
      </c>
      <c r="J7" s="226" t="s">
        <v>553</v>
      </c>
      <c r="K7" s="227"/>
      <c r="L7" s="94">
        <v>1.35</v>
      </c>
      <c r="M7" s="226" t="s">
        <v>553</v>
      </c>
      <c r="N7" s="227"/>
      <c r="O7" s="94">
        <v>1.35</v>
      </c>
      <c r="P7" s="226" t="s">
        <v>607</v>
      </c>
      <c r="Q7" s="227"/>
      <c r="R7" s="94">
        <v>0.5</v>
      </c>
      <c r="S7" s="8"/>
    </row>
    <row r="8" spans="2:19" ht="19.5" thickBot="1">
      <c r="B8" s="150"/>
      <c r="C8" s="140"/>
      <c r="D8" s="229"/>
      <c r="E8" s="230"/>
      <c r="F8" s="68"/>
      <c r="G8" s="229"/>
      <c r="H8" s="230"/>
      <c r="I8" s="68"/>
      <c r="J8" s="229"/>
      <c r="K8" s="230"/>
      <c r="L8" s="68"/>
      <c r="M8" s="239" t="s">
        <v>239</v>
      </c>
      <c r="N8" s="240"/>
      <c r="O8" s="93">
        <v>0.25</v>
      </c>
      <c r="P8" s="229" t="s">
        <v>644</v>
      </c>
      <c r="Q8" s="230"/>
      <c r="R8" s="68">
        <v>1.35</v>
      </c>
      <c r="S8" s="96"/>
    </row>
    <row r="9" spans="2:19" ht="18.75" customHeight="1">
      <c r="B9" s="150"/>
      <c r="C9" s="138" t="s">
        <v>20</v>
      </c>
      <c r="D9" s="226"/>
      <c r="E9" s="227"/>
      <c r="F9" s="94"/>
      <c r="G9" s="226" t="s">
        <v>629</v>
      </c>
      <c r="H9" s="227"/>
      <c r="I9" s="94">
        <v>2</v>
      </c>
      <c r="J9" s="226" t="s">
        <v>645</v>
      </c>
      <c r="K9" s="227"/>
      <c r="L9" s="94">
        <v>3.5</v>
      </c>
      <c r="M9" s="183" t="s">
        <v>646</v>
      </c>
      <c r="N9" s="184"/>
      <c r="O9" s="94">
        <v>2.25</v>
      </c>
      <c r="P9" s="226" t="s">
        <v>610</v>
      </c>
      <c r="Q9" s="227"/>
      <c r="R9" s="94">
        <v>3.5</v>
      </c>
      <c r="S9" s="11"/>
    </row>
    <row r="10" spans="2:19" ht="18.75" customHeight="1">
      <c r="B10" s="150"/>
      <c r="C10" s="139"/>
      <c r="D10" s="226"/>
      <c r="E10" s="227"/>
      <c r="F10" s="94"/>
      <c r="G10" s="226" t="s">
        <v>647</v>
      </c>
      <c r="H10" s="227"/>
      <c r="I10" s="94">
        <v>1.75</v>
      </c>
      <c r="J10" s="226" t="s">
        <v>493</v>
      </c>
      <c r="K10" s="227"/>
      <c r="L10" s="94">
        <v>0.5</v>
      </c>
      <c r="M10" s="226"/>
      <c r="N10" s="227"/>
      <c r="O10" s="94"/>
      <c r="P10" s="226"/>
      <c r="Q10" s="227"/>
      <c r="R10" s="94"/>
      <c r="S10" s="11"/>
    </row>
    <row r="11" spans="2:19" ht="18.75" customHeight="1">
      <c r="B11" s="150"/>
      <c r="C11" s="139"/>
      <c r="D11" s="183"/>
      <c r="E11" s="184"/>
      <c r="F11" s="94"/>
      <c r="G11" s="226"/>
      <c r="H11" s="227"/>
      <c r="I11" s="94"/>
      <c r="J11" s="226"/>
      <c r="K11" s="227"/>
      <c r="L11" s="94"/>
      <c r="M11" s="183" t="s">
        <v>611</v>
      </c>
      <c r="N11" s="184"/>
      <c r="O11" s="66">
        <v>1</v>
      </c>
      <c r="P11" s="183"/>
      <c r="Q11" s="184"/>
      <c r="R11" s="94"/>
      <c r="S11" s="96"/>
    </row>
    <row r="12" spans="2:19" ht="18.75" customHeight="1">
      <c r="B12" s="150"/>
      <c r="C12" s="139"/>
      <c r="D12" s="183"/>
      <c r="E12" s="184"/>
      <c r="F12" s="94"/>
      <c r="G12" s="183" t="s">
        <v>648</v>
      </c>
      <c r="H12" s="184"/>
      <c r="I12" s="66">
        <v>0.25</v>
      </c>
      <c r="J12" s="226"/>
      <c r="K12" s="227"/>
      <c r="L12" s="94"/>
      <c r="M12" s="183" t="s">
        <v>613</v>
      </c>
      <c r="N12" s="184"/>
      <c r="O12" s="94">
        <v>0.5</v>
      </c>
      <c r="P12" s="183" t="s">
        <v>585</v>
      </c>
      <c r="Q12" s="184"/>
      <c r="R12" s="94">
        <v>0.5</v>
      </c>
      <c r="S12" s="96"/>
    </row>
    <row r="13" spans="2:19" ht="19.5" customHeight="1" thickBot="1">
      <c r="B13" s="150"/>
      <c r="C13" s="140"/>
      <c r="D13" s="178"/>
      <c r="E13" s="228"/>
      <c r="F13" s="60"/>
      <c r="G13" s="178" t="s">
        <v>649</v>
      </c>
      <c r="H13" s="228"/>
      <c r="I13" s="60">
        <v>0.75</v>
      </c>
      <c r="J13" s="178" t="s">
        <v>649</v>
      </c>
      <c r="K13" s="228"/>
      <c r="L13" s="93">
        <v>0.75</v>
      </c>
      <c r="M13" s="178" t="s">
        <v>649</v>
      </c>
      <c r="N13" s="228"/>
      <c r="O13" s="60">
        <v>0.75</v>
      </c>
      <c r="P13" s="178" t="s">
        <v>649</v>
      </c>
      <c r="Q13" s="228"/>
      <c r="R13" s="60">
        <v>0.75</v>
      </c>
    </row>
    <row r="14" spans="2:19" ht="19.5" thickBot="1">
      <c r="B14" s="151"/>
      <c r="C14" s="18" t="s">
        <v>76</v>
      </c>
      <c r="D14" s="17"/>
      <c r="E14" s="17"/>
      <c r="F14" s="18">
        <f>SUM(F4:F13)</f>
        <v>0</v>
      </c>
      <c r="G14" s="17"/>
      <c r="H14" s="17"/>
      <c r="I14" s="18">
        <f>SUM(I4:I13)</f>
        <v>7.75</v>
      </c>
      <c r="J14" s="17"/>
      <c r="K14" s="17"/>
      <c r="L14" s="18">
        <f>SUM(L4:L13)</f>
        <v>7.75</v>
      </c>
      <c r="M14" s="17"/>
      <c r="N14" s="17"/>
      <c r="O14" s="18">
        <f>SUM(O4:O13)</f>
        <v>7.75</v>
      </c>
      <c r="P14" s="17"/>
      <c r="Q14" s="17"/>
      <c r="R14" s="18">
        <f>SUM(R4:R13)</f>
        <v>7.75</v>
      </c>
    </row>
    <row r="15" spans="2:19" ht="18.75" customHeight="1">
      <c r="B15" s="149" t="s">
        <v>65</v>
      </c>
      <c r="C15" s="138" t="s">
        <v>9</v>
      </c>
      <c r="D15" s="152"/>
      <c r="E15" s="153"/>
      <c r="F15" s="6"/>
      <c r="G15" s="216" t="s">
        <v>650</v>
      </c>
      <c r="H15" s="163"/>
      <c r="I15" s="6">
        <v>1.5</v>
      </c>
      <c r="J15" s="154" t="s">
        <v>474</v>
      </c>
      <c r="K15" s="155"/>
      <c r="L15" s="6">
        <v>3</v>
      </c>
      <c r="M15" s="154" t="s">
        <v>474</v>
      </c>
      <c r="N15" s="155"/>
      <c r="O15" s="6">
        <v>3</v>
      </c>
      <c r="P15" s="156" t="s">
        <v>37</v>
      </c>
      <c r="Q15" s="153"/>
      <c r="R15" s="6">
        <v>0.25</v>
      </c>
    </row>
    <row r="16" spans="2:19" ht="18.75" customHeight="1">
      <c r="B16" s="150"/>
      <c r="C16" s="139"/>
      <c r="D16" s="157"/>
      <c r="E16" s="155"/>
      <c r="F16" s="7"/>
      <c r="G16" s="154" t="s">
        <v>651</v>
      </c>
      <c r="H16" s="155"/>
      <c r="I16" s="7">
        <v>1</v>
      </c>
      <c r="J16" s="154" t="s">
        <v>652</v>
      </c>
      <c r="K16" s="155"/>
      <c r="L16" s="7" t="s">
        <v>36</v>
      </c>
      <c r="M16" s="154" t="s">
        <v>653</v>
      </c>
      <c r="N16" s="155"/>
      <c r="O16" s="7" t="s">
        <v>36</v>
      </c>
      <c r="P16" s="154" t="s">
        <v>474</v>
      </c>
      <c r="Q16" s="155"/>
      <c r="R16" s="7">
        <v>2.25</v>
      </c>
    </row>
    <row r="17" spans="2:18" ht="18.75" customHeight="1">
      <c r="B17" s="150"/>
      <c r="C17" s="139"/>
      <c r="D17" s="157"/>
      <c r="E17" s="155"/>
      <c r="F17" s="7"/>
      <c r="G17" s="216" t="s">
        <v>654</v>
      </c>
      <c r="H17" s="163"/>
      <c r="I17" s="7">
        <v>1</v>
      </c>
      <c r="J17" s="154"/>
      <c r="K17" s="155"/>
      <c r="L17" s="7"/>
      <c r="M17" s="154"/>
      <c r="N17" s="155"/>
      <c r="O17" s="7"/>
      <c r="P17" s="154" t="s">
        <v>655</v>
      </c>
      <c r="Q17" s="155"/>
      <c r="R17" s="7">
        <v>0.5</v>
      </c>
    </row>
    <row r="18" spans="2:18" ht="18.75" customHeight="1">
      <c r="B18" s="150"/>
      <c r="C18" s="139"/>
      <c r="D18" s="221"/>
      <c r="E18" s="222"/>
      <c r="F18" s="7"/>
      <c r="G18" s="154" t="s">
        <v>656</v>
      </c>
      <c r="H18" s="155"/>
      <c r="I18" s="12">
        <v>0.5</v>
      </c>
      <c r="J18" s="154"/>
      <c r="K18" s="155"/>
      <c r="L18" s="12"/>
      <c r="M18" s="154"/>
      <c r="N18" s="155"/>
      <c r="O18" s="12"/>
      <c r="P18" s="154"/>
      <c r="Q18" s="155"/>
      <c r="R18" s="12"/>
    </row>
    <row r="19" spans="2:18" ht="19.5" customHeight="1" thickBot="1">
      <c r="B19" s="150"/>
      <c r="C19" s="140"/>
      <c r="D19" s="158"/>
      <c r="E19" s="159"/>
      <c r="F19" s="9"/>
      <c r="G19" s="161"/>
      <c r="H19" s="159"/>
      <c r="I19" s="9"/>
      <c r="J19" s="161"/>
      <c r="K19" s="159"/>
      <c r="L19" s="9"/>
      <c r="M19" s="161"/>
      <c r="N19" s="159"/>
      <c r="O19" s="9"/>
      <c r="P19" s="161"/>
      <c r="Q19" s="159"/>
      <c r="R19" s="9"/>
    </row>
    <row r="20" spans="2:18" ht="18.75" customHeight="1">
      <c r="B20" s="150"/>
      <c r="C20" s="138" t="s">
        <v>20</v>
      </c>
      <c r="D20" s="152"/>
      <c r="E20" s="153"/>
      <c r="F20" s="6"/>
      <c r="G20" s="154" t="s">
        <v>618</v>
      </c>
      <c r="H20" s="155"/>
      <c r="I20" s="7" t="s">
        <v>38</v>
      </c>
      <c r="J20" s="154" t="s">
        <v>37</v>
      </c>
      <c r="K20" s="155"/>
      <c r="L20" s="7">
        <v>0.5</v>
      </c>
      <c r="M20" s="154" t="s">
        <v>474</v>
      </c>
      <c r="N20" s="155"/>
      <c r="O20" s="7">
        <v>3.5</v>
      </c>
      <c r="P20" s="154" t="s">
        <v>474</v>
      </c>
      <c r="Q20" s="155"/>
      <c r="R20" s="7">
        <v>3</v>
      </c>
    </row>
    <row r="21" spans="2:18" ht="18.75" customHeight="1">
      <c r="B21" s="150"/>
      <c r="C21" s="139"/>
      <c r="D21" s="157"/>
      <c r="E21" s="155"/>
      <c r="F21" s="7"/>
      <c r="G21" s="216" t="s">
        <v>657</v>
      </c>
      <c r="H21" s="163"/>
      <c r="I21" s="7">
        <v>1</v>
      </c>
      <c r="J21" s="154" t="s">
        <v>474</v>
      </c>
      <c r="K21" s="155"/>
      <c r="L21" s="7">
        <v>3.5</v>
      </c>
      <c r="M21" s="154" t="s">
        <v>658</v>
      </c>
      <c r="N21" s="155"/>
      <c r="O21" s="7">
        <v>0.5</v>
      </c>
      <c r="P21" s="154" t="s">
        <v>659</v>
      </c>
      <c r="Q21" s="155"/>
      <c r="R21" s="7">
        <v>1</v>
      </c>
    </row>
    <row r="22" spans="2:18" ht="18.75" customHeight="1">
      <c r="B22" s="150"/>
      <c r="C22" s="139"/>
      <c r="D22" s="157"/>
      <c r="E22" s="155"/>
      <c r="F22" s="7"/>
      <c r="G22" s="216" t="s">
        <v>660</v>
      </c>
      <c r="H22" s="163"/>
      <c r="I22" s="7">
        <v>0.5</v>
      </c>
      <c r="J22" s="154"/>
      <c r="K22" s="155"/>
      <c r="L22" s="7"/>
      <c r="M22" s="154"/>
      <c r="N22" s="155"/>
      <c r="O22" s="7"/>
      <c r="P22" s="154"/>
      <c r="Q22" s="155"/>
      <c r="R22" s="7"/>
    </row>
    <row r="23" spans="2:18" ht="18.75" customHeight="1">
      <c r="B23" s="150"/>
      <c r="C23" s="139"/>
      <c r="D23" s="157"/>
      <c r="E23" s="155"/>
      <c r="F23" s="7"/>
      <c r="G23" s="154" t="s">
        <v>661</v>
      </c>
      <c r="H23" s="155"/>
      <c r="I23" s="7">
        <v>1.5</v>
      </c>
      <c r="J23" s="154"/>
      <c r="K23" s="155"/>
      <c r="L23" s="7"/>
      <c r="M23" s="154"/>
      <c r="N23" s="155"/>
      <c r="O23" s="7"/>
      <c r="P23" s="154"/>
      <c r="Q23" s="155"/>
      <c r="R23" s="7"/>
    </row>
    <row r="24" spans="2:18" ht="19.5" customHeight="1" thickBot="1">
      <c r="B24" s="150"/>
      <c r="C24" s="140"/>
      <c r="D24" s="157"/>
      <c r="E24" s="155"/>
      <c r="F24" s="7"/>
      <c r="G24" s="161"/>
      <c r="H24" s="159"/>
      <c r="I24" s="9"/>
      <c r="J24" s="161"/>
      <c r="K24" s="159"/>
      <c r="L24" s="9"/>
      <c r="M24" s="161"/>
      <c r="N24" s="159"/>
      <c r="O24" s="9"/>
      <c r="P24" s="161"/>
      <c r="Q24" s="159"/>
      <c r="R24" s="9"/>
    </row>
    <row r="25" spans="2:18" ht="19.5" thickBot="1">
      <c r="B25" s="151"/>
      <c r="C25" s="18" t="s">
        <v>76</v>
      </c>
      <c r="D25" s="17"/>
      <c r="E25" s="17"/>
      <c r="F25" s="18">
        <f>SUM(F15:F24)</f>
        <v>0</v>
      </c>
      <c r="G25" s="17"/>
      <c r="H25" s="17"/>
      <c r="I25" s="18">
        <f>SUM(I15:I24)</f>
        <v>7</v>
      </c>
      <c r="J25" s="17"/>
      <c r="K25" s="17"/>
      <c r="L25" s="18">
        <f>SUM(L15:L24)</f>
        <v>7</v>
      </c>
      <c r="M25" s="17"/>
      <c r="N25" s="17"/>
      <c r="O25" s="18">
        <f>SUM(O15:O24)</f>
        <v>7</v>
      </c>
      <c r="P25" s="17"/>
      <c r="Q25" s="17"/>
      <c r="R25" s="18">
        <f>SUM(R15:R24)</f>
        <v>7</v>
      </c>
    </row>
    <row r="27" spans="2:18">
      <c r="B27" s="294" t="s">
        <v>182</v>
      </c>
      <c r="C27" s="295"/>
      <c r="D27" s="103" t="s">
        <v>183</v>
      </c>
      <c r="F27" s="296" t="s">
        <v>184</v>
      </c>
      <c r="G27" s="296"/>
    </row>
  </sheetData>
  <mergeCells count="126">
    <mergeCell ref="D24:E24"/>
    <mergeCell ref="G24:H24"/>
    <mergeCell ref="J24:K24"/>
    <mergeCell ref="M24:N24"/>
    <mergeCell ref="P24:Q24"/>
    <mergeCell ref="B27:C27"/>
    <mergeCell ref="F27:G27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  <mergeCell ref="C20:C24"/>
    <mergeCell ref="B15:B25"/>
    <mergeCell ref="C15:C19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D20:E20"/>
    <mergeCell ref="G20:H20"/>
    <mergeCell ref="J20:K20"/>
    <mergeCell ref="M20:N20"/>
    <mergeCell ref="D17:E17"/>
    <mergeCell ref="G17:H17"/>
    <mergeCell ref="J17:K17"/>
    <mergeCell ref="M17:N17"/>
    <mergeCell ref="P17:Q17"/>
    <mergeCell ref="D18:E18"/>
    <mergeCell ref="G18:H18"/>
    <mergeCell ref="J18:K18"/>
    <mergeCell ref="M18:N18"/>
    <mergeCell ref="P18:Q18"/>
    <mergeCell ref="M15:N15"/>
    <mergeCell ref="P15:Q15"/>
    <mergeCell ref="D16:E16"/>
    <mergeCell ref="G16:H16"/>
    <mergeCell ref="J16:K16"/>
    <mergeCell ref="M16:N16"/>
    <mergeCell ref="P16:Q16"/>
    <mergeCell ref="D13:E13"/>
    <mergeCell ref="G13:H13"/>
    <mergeCell ref="J13:K13"/>
    <mergeCell ref="M13:N13"/>
    <mergeCell ref="P13:Q13"/>
    <mergeCell ref="D15:E15"/>
    <mergeCell ref="G15:H15"/>
    <mergeCell ref="J15:K15"/>
    <mergeCell ref="D11:E11"/>
    <mergeCell ref="G11:H11"/>
    <mergeCell ref="J11:K11"/>
    <mergeCell ref="M11:N11"/>
    <mergeCell ref="P11:Q11"/>
    <mergeCell ref="D12:E12"/>
    <mergeCell ref="G12:H12"/>
    <mergeCell ref="J12:K12"/>
    <mergeCell ref="M12:N12"/>
    <mergeCell ref="P12:Q12"/>
    <mergeCell ref="J7:K7"/>
    <mergeCell ref="M7:N7"/>
    <mergeCell ref="P7:Q7"/>
    <mergeCell ref="P9:Q9"/>
    <mergeCell ref="D10:E10"/>
    <mergeCell ref="G10:H10"/>
    <mergeCell ref="J10:K10"/>
    <mergeCell ref="M10:N10"/>
    <mergeCell ref="P10:Q10"/>
    <mergeCell ref="D8:E8"/>
    <mergeCell ref="G8:H8"/>
    <mergeCell ref="J8:K8"/>
    <mergeCell ref="M8:N8"/>
    <mergeCell ref="P8:Q8"/>
    <mergeCell ref="P4:Q4"/>
    <mergeCell ref="D5:E5"/>
    <mergeCell ref="G5:H5"/>
    <mergeCell ref="J5:K5"/>
    <mergeCell ref="M5:N5"/>
    <mergeCell ref="P5:Q5"/>
    <mergeCell ref="B4:B14"/>
    <mergeCell ref="C4:C8"/>
    <mergeCell ref="D4:E4"/>
    <mergeCell ref="G4:H4"/>
    <mergeCell ref="J4:K4"/>
    <mergeCell ref="M4:N4"/>
    <mergeCell ref="D6:E6"/>
    <mergeCell ref="G6:H6"/>
    <mergeCell ref="J6:K6"/>
    <mergeCell ref="M6:N6"/>
    <mergeCell ref="C9:C13"/>
    <mergeCell ref="D9:E9"/>
    <mergeCell ref="G9:H9"/>
    <mergeCell ref="J9:K9"/>
    <mergeCell ref="M9:N9"/>
    <mergeCell ref="P6:Q6"/>
    <mergeCell ref="D7:E7"/>
    <mergeCell ref="G7:H7"/>
    <mergeCell ref="R2:R3"/>
    <mergeCell ref="K2:K3"/>
    <mergeCell ref="L2:L3"/>
    <mergeCell ref="M2:M3"/>
    <mergeCell ref="N2:N3"/>
    <mergeCell ref="O2:O3"/>
    <mergeCell ref="P2:P3"/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  <mergeCell ref="Q2:Q3"/>
  </mergeCells>
  <phoneticPr fontId="1"/>
  <pageMargins left="0.7" right="0.7" top="0.75" bottom="0.75" header="0.3" footer="0.3"/>
  <pageSetup paperSize="8" scale="67" orientation="landscape" horizontalDpi="1200" verticalDpi="1200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966FD-64C2-49DB-9619-AE1AB28C92AA}">
  <sheetPr codeName="Sheet18"/>
  <dimension ref="B1:T38"/>
  <sheetViews>
    <sheetView view="pageBreakPreview" zoomScale="70" zoomScaleNormal="100" zoomScaleSheetLayoutView="70" workbookViewId="0">
      <selection activeCell="G18" sqref="G18:H18"/>
    </sheetView>
  </sheetViews>
  <sheetFormatPr defaultRowHeight="18.75"/>
  <cols>
    <col min="1" max="1" width="2.5" customWidth="1"/>
    <col min="4" max="18" width="16" customWidth="1"/>
  </cols>
  <sheetData>
    <row r="1" spans="2:20" ht="24.75" thickBot="1">
      <c r="D1" s="53">
        <v>45705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20" s="5" customFormat="1">
      <c r="B2" s="201"/>
      <c r="C2" s="202"/>
      <c r="D2" s="205">
        <f>D1</f>
        <v>45705</v>
      </c>
      <c r="E2" s="195" t="s">
        <v>3</v>
      </c>
      <c r="F2" s="191" t="s">
        <v>4</v>
      </c>
      <c r="G2" s="197">
        <f>D2+1</f>
        <v>45706</v>
      </c>
      <c r="H2" s="195" t="s">
        <v>5</v>
      </c>
      <c r="I2" s="191" t="s">
        <v>4</v>
      </c>
      <c r="J2" s="197">
        <f>G2+1</f>
        <v>45707</v>
      </c>
      <c r="K2" s="195" t="s">
        <v>6</v>
      </c>
      <c r="L2" s="191" t="s">
        <v>4</v>
      </c>
      <c r="M2" s="197">
        <f>J2+1</f>
        <v>45708</v>
      </c>
      <c r="N2" s="195" t="s">
        <v>7</v>
      </c>
      <c r="O2" s="191" t="s">
        <v>4</v>
      </c>
      <c r="P2" s="197">
        <f>M2+1</f>
        <v>45709</v>
      </c>
      <c r="Q2" s="195" t="s">
        <v>8</v>
      </c>
      <c r="R2" s="191" t="s">
        <v>4</v>
      </c>
    </row>
    <row r="3" spans="2:20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20" ht="18.75" customHeight="1">
      <c r="B4" s="303" t="s">
        <v>31</v>
      </c>
      <c r="C4" s="138" t="s">
        <v>9</v>
      </c>
      <c r="D4" s="156" t="s">
        <v>67</v>
      </c>
      <c r="E4" s="153"/>
      <c r="F4" s="6">
        <v>0.5</v>
      </c>
      <c r="G4" s="156"/>
      <c r="H4" s="153"/>
      <c r="I4" s="6"/>
      <c r="J4" s="264" t="s">
        <v>67</v>
      </c>
      <c r="K4" s="153"/>
      <c r="L4" s="6">
        <v>0.5</v>
      </c>
      <c r="M4" s="264" t="s">
        <v>67</v>
      </c>
      <c r="N4" s="153"/>
      <c r="O4" s="6">
        <v>0.5</v>
      </c>
      <c r="P4" s="264" t="s">
        <v>67</v>
      </c>
      <c r="Q4" s="153"/>
      <c r="R4" s="6">
        <v>0.5</v>
      </c>
      <c r="S4" s="211"/>
      <c r="T4" s="211"/>
    </row>
    <row r="5" spans="2:20" ht="18.75" customHeight="1">
      <c r="B5" s="304"/>
      <c r="C5" s="139"/>
      <c r="D5" s="154" t="s">
        <v>71</v>
      </c>
      <c r="E5" s="155"/>
      <c r="F5" s="7">
        <v>0.1</v>
      </c>
      <c r="G5" s="154"/>
      <c r="H5" s="155"/>
      <c r="I5" s="7"/>
      <c r="J5" s="157" t="s">
        <v>71</v>
      </c>
      <c r="K5" s="155"/>
      <c r="L5" s="7">
        <v>0.1</v>
      </c>
      <c r="M5" s="157" t="s">
        <v>71</v>
      </c>
      <c r="N5" s="155"/>
      <c r="O5" s="7">
        <v>0.1</v>
      </c>
      <c r="P5" s="157" t="s">
        <v>71</v>
      </c>
      <c r="Q5" s="155"/>
      <c r="R5" s="7">
        <v>0.1</v>
      </c>
      <c r="S5" s="211"/>
      <c r="T5" s="211"/>
    </row>
    <row r="6" spans="2:20" ht="18.75" customHeight="1">
      <c r="B6" s="304"/>
      <c r="C6" s="139"/>
      <c r="D6" s="154" t="s">
        <v>525</v>
      </c>
      <c r="E6" s="155"/>
      <c r="F6" s="104">
        <v>0.5</v>
      </c>
      <c r="G6" s="253"/>
      <c r="H6" s="227"/>
      <c r="I6" s="16"/>
      <c r="J6" s="283" t="s">
        <v>615</v>
      </c>
      <c r="K6" s="245"/>
      <c r="L6" s="16">
        <v>0.5</v>
      </c>
      <c r="M6" s="283" t="s">
        <v>604</v>
      </c>
      <c r="N6" s="245"/>
      <c r="O6" s="16">
        <v>2.5</v>
      </c>
      <c r="P6" s="283" t="s">
        <v>604</v>
      </c>
      <c r="Q6" s="245"/>
      <c r="R6" s="16">
        <v>2.5</v>
      </c>
      <c r="S6" s="212"/>
      <c r="T6" s="212"/>
    </row>
    <row r="7" spans="2:20" ht="18.75" customHeight="1">
      <c r="B7" s="304"/>
      <c r="C7" s="139"/>
      <c r="D7" s="154" t="s">
        <v>624</v>
      </c>
      <c r="E7" s="155"/>
      <c r="F7" s="16">
        <v>1.5</v>
      </c>
      <c r="G7" s="183"/>
      <c r="H7" s="184"/>
      <c r="I7" s="58"/>
      <c r="J7" s="154"/>
      <c r="K7" s="155"/>
      <c r="L7" s="16"/>
      <c r="M7" s="226"/>
      <c r="N7" s="227"/>
      <c r="O7" s="16"/>
      <c r="P7" s="283" t="s">
        <v>476</v>
      </c>
      <c r="Q7" s="245"/>
      <c r="R7" s="16">
        <v>1.5</v>
      </c>
      <c r="S7" s="8"/>
      <c r="T7" s="8"/>
    </row>
    <row r="8" spans="2:20" ht="19.5" customHeight="1" thickBot="1">
      <c r="B8" s="304"/>
      <c r="C8" s="139"/>
      <c r="D8" s="154" t="s">
        <v>616</v>
      </c>
      <c r="E8" s="155"/>
      <c r="F8" s="109">
        <v>1</v>
      </c>
      <c r="G8" s="213"/>
      <c r="H8" s="306"/>
      <c r="I8" s="100"/>
      <c r="J8" s="307"/>
      <c r="K8" s="302"/>
      <c r="L8" s="101"/>
      <c r="M8" s="160"/>
      <c r="N8" s="159"/>
      <c r="O8" s="97"/>
      <c r="P8" s="161"/>
      <c r="Q8" s="159"/>
      <c r="R8" s="9"/>
      <c r="S8" s="214"/>
      <c r="T8" s="214"/>
    </row>
    <row r="9" spans="2:20" ht="18.75" customHeight="1">
      <c r="B9" s="304"/>
      <c r="C9" s="138" t="s">
        <v>20</v>
      </c>
      <c r="D9" s="156" t="s">
        <v>623</v>
      </c>
      <c r="E9" s="153"/>
      <c r="F9" s="92">
        <v>4.1500000000000004</v>
      </c>
      <c r="G9" s="156"/>
      <c r="H9" s="153"/>
      <c r="I9" s="92"/>
      <c r="J9" s="242" t="s">
        <v>614</v>
      </c>
      <c r="K9" s="243"/>
      <c r="L9" s="92">
        <v>6.3</v>
      </c>
      <c r="M9" s="156" t="s">
        <v>603</v>
      </c>
      <c r="N9" s="153"/>
      <c r="O9" s="92">
        <v>1.55</v>
      </c>
      <c r="P9" s="156" t="s">
        <v>600</v>
      </c>
      <c r="Q9" s="153"/>
      <c r="R9" s="92">
        <v>1.65</v>
      </c>
      <c r="S9" s="11"/>
      <c r="T9" s="11"/>
    </row>
    <row r="10" spans="2:20" ht="18.75" customHeight="1">
      <c r="B10" s="304"/>
      <c r="C10" s="139"/>
      <c r="D10" s="154"/>
      <c r="E10" s="155"/>
      <c r="F10" s="104"/>
      <c r="G10" s="154"/>
      <c r="H10" s="155"/>
      <c r="I10" s="56"/>
      <c r="J10" s="253"/>
      <c r="K10" s="227"/>
      <c r="L10" s="106"/>
      <c r="M10" s="154" t="s">
        <v>602</v>
      </c>
      <c r="N10" s="155"/>
      <c r="O10" s="104">
        <v>1.5</v>
      </c>
      <c r="P10" s="154" t="s">
        <v>602</v>
      </c>
      <c r="Q10" s="155"/>
      <c r="R10" s="104">
        <v>1.5</v>
      </c>
      <c r="S10" s="11"/>
      <c r="T10" s="11"/>
    </row>
    <row r="11" spans="2:20" ht="18.75" customHeight="1">
      <c r="B11" s="304"/>
      <c r="C11" s="139"/>
      <c r="D11" s="226"/>
      <c r="E11" s="227"/>
      <c r="F11" s="16"/>
      <c r="G11" s="154"/>
      <c r="H11" s="155"/>
      <c r="I11" s="104"/>
      <c r="J11" s="253" t="s">
        <v>550</v>
      </c>
      <c r="K11" s="227"/>
      <c r="L11" s="106"/>
      <c r="M11" s="253" t="s">
        <v>550</v>
      </c>
      <c r="N11" s="227"/>
      <c r="O11" s="16"/>
      <c r="P11" s="253"/>
      <c r="Q11" s="227"/>
      <c r="R11" s="16"/>
      <c r="S11" s="215"/>
      <c r="T11" s="215"/>
    </row>
    <row r="12" spans="2:20" ht="18.75" customHeight="1">
      <c r="B12" s="304"/>
      <c r="C12" s="139"/>
      <c r="D12" s="300"/>
      <c r="E12" s="155"/>
      <c r="F12" s="7"/>
      <c r="G12" s="154"/>
      <c r="H12" s="155"/>
      <c r="I12" s="7"/>
      <c r="J12" s="244" t="s">
        <v>528</v>
      </c>
      <c r="K12" s="245"/>
      <c r="L12" s="16">
        <v>0.1</v>
      </c>
      <c r="M12" s="283" t="s">
        <v>528</v>
      </c>
      <c r="N12" s="245"/>
      <c r="O12" s="16">
        <v>0.1</v>
      </c>
      <c r="P12" s="301"/>
      <c r="Q12" s="302"/>
      <c r="R12" s="99"/>
      <c r="S12" s="214"/>
      <c r="T12" s="214"/>
    </row>
    <row r="13" spans="2:20" ht="19.5" customHeight="1" thickBot="1">
      <c r="B13" s="304"/>
      <c r="C13" s="140"/>
      <c r="D13" s="160"/>
      <c r="E13" s="159"/>
      <c r="F13" s="9"/>
      <c r="G13" s="161"/>
      <c r="H13" s="159"/>
      <c r="I13" s="9"/>
      <c r="J13" s="161" t="s">
        <v>68</v>
      </c>
      <c r="K13" s="159"/>
      <c r="L13" s="9">
        <v>0.25</v>
      </c>
      <c r="M13" s="160" t="s">
        <v>206</v>
      </c>
      <c r="N13" s="159"/>
      <c r="O13" s="9">
        <v>1.5</v>
      </c>
      <c r="P13" s="161"/>
      <c r="Q13" s="159"/>
      <c r="R13" s="9"/>
      <c r="S13" s="215"/>
      <c r="T13" s="215"/>
    </row>
    <row r="14" spans="2:20" ht="19.5" thickBot="1">
      <c r="B14" s="305"/>
      <c r="C14" s="18" t="s">
        <v>76</v>
      </c>
      <c r="D14" s="17"/>
      <c r="E14" s="17"/>
      <c r="F14" s="18">
        <f>SUM(F4:F13)</f>
        <v>7.75</v>
      </c>
      <c r="G14" s="17"/>
      <c r="H14" s="17"/>
      <c r="I14" s="18">
        <f>SUM(I4:I13)</f>
        <v>0</v>
      </c>
      <c r="J14" s="98"/>
      <c r="K14" s="17"/>
      <c r="L14" s="18">
        <f>SUM(L4:L13)</f>
        <v>7.75</v>
      </c>
      <c r="M14" s="17"/>
      <c r="N14" s="17"/>
      <c r="O14" s="18">
        <f>SUM(O4:O13)</f>
        <v>7.75</v>
      </c>
      <c r="P14" s="98"/>
      <c r="Q14" s="17"/>
      <c r="R14" s="18">
        <f>SUM(R4:R13)</f>
        <v>7.75</v>
      </c>
    </row>
    <row r="15" spans="2:20" ht="18.75" customHeight="1">
      <c r="B15" s="149" t="s">
        <v>32</v>
      </c>
      <c r="C15" s="138" t="s">
        <v>9</v>
      </c>
      <c r="D15" s="231" t="s">
        <v>551</v>
      </c>
      <c r="E15" s="232"/>
      <c r="F15" s="61">
        <v>0.5</v>
      </c>
      <c r="G15" s="231" t="s">
        <v>166</v>
      </c>
      <c r="H15" s="232"/>
      <c r="I15" s="61">
        <v>0.5</v>
      </c>
      <c r="J15" s="241" t="s">
        <v>166</v>
      </c>
      <c r="K15" s="232"/>
      <c r="L15" s="61">
        <v>0.5</v>
      </c>
      <c r="M15" s="241" t="s">
        <v>166</v>
      </c>
      <c r="N15" s="232"/>
      <c r="O15" s="61">
        <v>0.5</v>
      </c>
      <c r="P15" s="231" t="s">
        <v>166</v>
      </c>
      <c r="Q15" s="232"/>
      <c r="R15" s="61">
        <v>0.5</v>
      </c>
      <c r="S15" s="95"/>
    </row>
    <row r="16" spans="2:20">
      <c r="B16" s="150"/>
      <c r="C16" s="139"/>
      <c r="D16" s="233" t="s">
        <v>552</v>
      </c>
      <c r="E16" s="234"/>
      <c r="F16" s="62">
        <v>0.15</v>
      </c>
      <c r="G16" s="233" t="s">
        <v>546</v>
      </c>
      <c r="H16" s="234"/>
      <c r="I16" s="62">
        <v>0.15</v>
      </c>
      <c r="J16" s="183" t="s">
        <v>231</v>
      </c>
      <c r="K16" s="234"/>
      <c r="L16" s="62">
        <v>0.15</v>
      </c>
      <c r="M16" s="183" t="s">
        <v>232</v>
      </c>
      <c r="N16" s="234"/>
      <c r="O16" s="62">
        <v>0.15</v>
      </c>
      <c r="P16" s="183" t="s">
        <v>512</v>
      </c>
      <c r="Q16" s="234"/>
      <c r="R16" s="62">
        <v>0.15</v>
      </c>
      <c r="S16" s="95"/>
    </row>
    <row r="17" spans="2:19">
      <c r="B17" s="150"/>
      <c r="C17" s="139"/>
      <c r="D17" s="226" t="s">
        <v>625</v>
      </c>
      <c r="E17" s="227"/>
      <c r="F17" s="94">
        <v>1.5</v>
      </c>
      <c r="G17" s="226" t="s">
        <v>626</v>
      </c>
      <c r="H17" s="227"/>
      <c r="I17" s="94">
        <v>1.5</v>
      </c>
      <c r="J17" s="226" t="s">
        <v>627</v>
      </c>
      <c r="K17" s="227"/>
      <c r="L17" s="94">
        <v>1.5</v>
      </c>
      <c r="M17" s="183" t="s">
        <v>628</v>
      </c>
      <c r="N17" s="184"/>
      <c r="O17" s="94">
        <v>1.5</v>
      </c>
      <c r="P17" s="226" t="s">
        <v>607</v>
      </c>
      <c r="Q17" s="227"/>
      <c r="R17" s="94">
        <v>0.5</v>
      </c>
      <c r="S17" s="95"/>
    </row>
    <row r="18" spans="2:19">
      <c r="B18" s="150"/>
      <c r="C18" s="139"/>
      <c r="D18" s="226" t="s">
        <v>629</v>
      </c>
      <c r="E18" s="227"/>
      <c r="F18" s="94">
        <v>0.85</v>
      </c>
      <c r="G18" s="226" t="s">
        <v>629</v>
      </c>
      <c r="H18" s="227"/>
      <c r="I18" s="94">
        <v>0.85</v>
      </c>
      <c r="J18" s="226" t="s">
        <v>630</v>
      </c>
      <c r="K18" s="227"/>
      <c r="L18" s="94">
        <v>0.85</v>
      </c>
      <c r="M18" s="226" t="s">
        <v>631</v>
      </c>
      <c r="N18" s="227"/>
      <c r="O18" s="94">
        <v>0.6</v>
      </c>
      <c r="P18" s="226" t="s">
        <v>632</v>
      </c>
      <c r="Q18" s="227"/>
      <c r="R18" s="94">
        <v>0.85</v>
      </c>
      <c r="S18" s="8"/>
    </row>
    <row r="19" spans="2:19" ht="19.5" thickBot="1">
      <c r="B19" s="150"/>
      <c r="C19" s="140"/>
      <c r="D19" s="229"/>
      <c r="E19" s="230"/>
      <c r="F19" s="68"/>
      <c r="G19" s="229"/>
      <c r="H19" s="230"/>
      <c r="I19" s="68"/>
      <c r="J19" s="229"/>
      <c r="K19" s="230"/>
      <c r="L19" s="68"/>
      <c r="M19" s="239" t="s">
        <v>239</v>
      </c>
      <c r="N19" s="240"/>
      <c r="O19" s="93">
        <v>0.25</v>
      </c>
      <c r="P19" s="229"/>
      <c r="Q19" s="230"/>
      <c r="R19" s="68"/>
      <c r="S19" s="96"/>
    </row>
    <row r="20" spans="2:19" ht="18.75" customHeight="1">
      <c r="B20" s="150"/>
      <c r="C20" s="138" t="s">
        <v>20</v>
      </c>
      <c r="D20" s="226" t="s">
        <v>629</v>
      </c>
      <c r="E20" s="227"/>
      <c r="F20" s="94">
        <v>4</v>
      </c>
      <c r="G20" s="226" t="s">
        <v>629</v>
      </c>
      <c r="H20" s="227"/>
      <c r="I20" s="94">
        <v>3.75</v>
      </c>
      <c r="J20" s="183" t="s">
        <v>633</v>
      </c>
      <c r="K20" s="184"/>
      <c r="L20" s="94">
        <v>1.5</v>
      </c>
      <c r="M20" s="183" t="s">
        <v>633</v>
      </c>
      <c r="N20" s="184"/>
      <c r="O20" s="94">
        <v>1.5</v>
      </c>
      <c r="P20" s="183" t="s">
        <v>553</v>
      </c>
      <c r="Q20" s="184"/>
      <c r="R20" s="94">
        <v>2</v>
      </c>
      <c r="S20" s="11"/>
    </row>
    <row r="21" spans="2:19" ht="18.75" customHeight="1">
      <c r="B21" s="150"/>
      <c r="C21" s="139"/>
      <c r="D21" s="226"/>
      <c r="E21" s="227"/>
      <c r="F21" s="94"/>
      <c r="G21" s="183" t="s">
        <v>634</v>
      </c>
      <c r="H21" s="184"/>
      <c r="I21" s="94">
        <v>0.25</v>
      </c>
      <c r="J21" s="226" t="s">
        <v>493</v>
      </c>
      <c r="K21" s="227"/>
      <c r="L21" s="94">
        <v>0.5</v>
      </c>
      <c r="M21" s="226" t="s">
        <v>610</v>
      </c>
      <c r="N21" s="227"/>
      <c r="O21" s="94">
        <v>1</v>
      </c>
      <c r="P21" s="226" t="s">
        <v>610</v>
      </c>
      <c r="Q21" s="227"/>
      <c r="R21" s="94">
        <v>2.5</v>
      </c>
      <c r="S21" s="11"/>
    </row>
    <row r="22" spans="2:19" ht="18.75" customHeight="1">
      <c r="B22" s="150"/>
      <c r="C22" s="139"/>
      <c r="D22" s="183"/>
      <c r="E22" s="184"/>
      <c r="F22" s="94"/>
      <c r="G22" s="226"/>
      <c r="H22" s="227"/>
      <c r="I22" s="94"/>
      <c r="J22" s="226" t="s">
        <v>610</v>
      </c>
      <c r="K22" s="227"/>
      <c r="L22" s="94">
        <v>1.5</v>
      </c>
      <c r="M22" s="183" t="s">
        <v>611</v>
      </c>
      <c r="N22" s="184"/>
      <c r="O22" s="66">
        <v>1</v>
      </c>
      <c r="P22" s="183"/>
      <c r="Q22" s="184"/>
      <c r="R22" s="94"/>
      <c r="S22" s="96"/>
    </row>
    <row r="23" spans="2:19" ht="18.75" customHeight="1">
      <c r="B23" s="150"/>
      <c r="C23" s="139"/>
      <c r="D23" s="183"/>
      <c r="E23" s="184"/>
      <c r="F23" s="94"/>
      <c r="G23" s="183"/>
      <c r="H23" s="184"/>
      <c r="I23" s="94"/>
      <c r="J23" s="226" t="s">
        <v>612</v>
      </c>
      <c r="K23" s="227"/>
      <c r="L23" s="94">
        <v>0.5</v>
      </c>
      <c r="M23" s="183" t="s">
        <v>613</v>
      </c>
      <c r="N23" s="184"/>
      <c r="O23" s="94">
        <v>0.5</v>
      </c>
      <c r="P23" s="183" t="s">
        <v>585</v>
      </c>
      <c r="Q23" s="184"/>
      <c r="R23" s="94">
        <v>0.5</v>
      </c>
      <c r="S23" s="96"/>
    </row>
    <row r="24" spans="2:19" ht="19.5" customHeight="1" thickBot="1">
      <c r="B24" s="150"/>
      <c r="C24" s="140"/>
      <c r="D24" s="297" t="s">
        <v>561</v>
      </c>
      <c r="E24" s="228"/>
      <c r="F24" s="60">
        <v>0.75</v>
      </c>
      <c r="G24" s="297" t="s">
        <v>174</v>
      </c>
      <c r="H24" s="228"/>
      <c r="I24" s="60">
        <v>0.75</v>
      </c>
      <c r="J24" s="298" t="s">
        <v>174</v>
      </c>
      <c r="K24" s="299"/>
      <c r="L24" s="93">
        <v>0.75</v>
      </c>
      <c r="M24" s="297" t="s">
        <v>174</v>
      </c>
      <c r="N24" s="228"/>
      <c r="O24" s="60">
        <v>0.75</v>
      </c>
      <c r="P24" s="297" t="s">
        <v>174</v>
      </c>
      <c r="Q24" s="228"/>
      <c r="R24" s="60">
        <v>0.75</v>
      </c>
    </row>
    <row r="25" spans="2:19" ht="19.5" thickBot="1">
      <c r="B25" s="151"/>
      <c r="C25" s="18" t="s">
        <v>76</v>
      </c>
      <c r="D25" s="17"/>
      <c r="E25" s="17"/>
      <c r="F25" s="18">
        <f>SUM(F15:F24)</f>
        <v>7.75</v>
      </c>
      <c r="G25" s="17"/>
      <c r="H25" s="17"/>
      <c r="I25" s="18">
        <f>SUM(I15:I24)</f>
        <v>7.75</v>
      </c>
      <c r="J25" s="17"/>
      <c r="K25" s="17"/>
      <c r="L25" s="18">
        <f>SUM(L15:L24)</f>
        <v>7.75</v>
      </c>
      <c r="M25" s="17"/>
      <c r="N25" s="17"/>
      <c r="O25" s="18">
        <f>SUM(O15:O24)</f>
        <v>7.75</v>
      </c>
      <c r="P25" s="17"/>
      <c r="Q25" s="17"/>
      <c r="R25" s="18">
        <f>SUM(R15:R24)</f>
        <v>7.75</v>
      </c>
    </row>
    <row r="26" spans="2:19" ht="18.75" customHeight="1">
      <c r="B26" s="149" t="s">
        <v>65</v>
      </c>
      <c r="C26" s="138" t="s">
        <v>9</v>
      </c>
      <c r="D26" s="152" t="s">
        <v>635</v>
      </c>
      <c r="E26" s="153"/>
      <c r="F26" s="6">
        <v>1.5</v>
      </c>
      <c r="G26" s="154" t="s">
        <v>636</v>
      </c>
      <c r="H26" s="155"/>
      <c r="I26" s="6">
        <v>2</v>
      </c>
      <c r="J26" s="154" t="s">
        <v>474</v>
      </c>
      <c r="K26" s="155"/>
      <c r="L26" s="6">
        <v>3</v>
      </c>
      <c r="M26" s="154" t="s">
        <v>474</v>
      </c>
      <c r="N26" s="155"/>
      <c r="O26" s="6">
        <v>3</v>
      </c>
      <c r="P26" s="156" t="s">
        <v>37</v>
      </c>
      <c r="Q26" s="153"/>
      <c r="R26" s="6">
        <v>0.25</v>
      </c>
    </row>
    <row r="27" spans="2:19" ht="18.75" customHeight="1">
      <c r="B27" s="150"/>
      <c r="C27" s="139"/>
      <c r="D27" s="157" t="s">
        <v>637</v>
      </c>
      <c r="E27" s="155"/>
      <c r="F27" s="7">
        <v>2</v>
      </c>
      <c r="G27" s="154" t="s">
        <v>638</v>
      </c>
      <c r="H27" s="155"/>
      <c r="I27" s="7">
        <v>1</v>
      </c>
      <c r="J27" s="154"/>
      <c r="K27" s="155"/>
      <c r="L27" s="7"/>
      <c r="M27" s="154"/>
      <c r="N27" s="155"/>
      <c r="O27" s="7"/>
      <c r="P27" s="154" t="s">
        <v>474</v>
      </c>
      <c r="Q27" s="155"/>
      <c r="R27" s="7">
        <v>2.75</v>
      </c>
    </row>
    <row r="28" spans="2:19" ht="18.75" customHeight="1">
      <c r="B28" s="150"/>
      <c r="C28" s="139"/>
      <c r="D28" s="157"/>
      <c r="E28" s="155"/>
      <c r="F28" s="7"/>
      <c r="G28" s="154"/>
      <c r="H28" s="155"/>
      <c r="I28" s="7"/>
      <c r="J28" s="154"/>
      <c r="K28" s="155"/>
      <c r="L28" s="7"/>
      <c r="M28" s="154"/>
      <c r="N28" s="155"/>
      <c r="O28" s="7"/>
      <c r="P28" s="154"/>
      <c r="Q28" s="155"/>
      <c r="R28" s="7"/>
    </row>
    <row r="29" spans="2:19" ht="18.75" customHeight="1">
      <c r="B29" s="150"/>
      <c r="C29" s="139"/>
      <c r="D29" s="221"/>
      <c r="E29" s="222"/>
      <c r="F29" s="7"/>
      <c r="G29" s="154"/>
      <c r="H29" s="155"/>
      <c r="I29" s="12"/>
      <c r="J29" s="154"/>
      <c r="K29" s="155"/>
      <c r="L29" s="12"/>
      <c r="M29" s="154"/>
      <c r="N29" s="155"/>
      <c r="O29" s="12"/>
      <c r="P29" s="154"/>
      <c r="Q29" s="155"/>
      <c r="R29" s="12"/>
    </row>
    <row r="30" spans="2:19" ht="19.5" customHeight="1" thickBot="1">
      <c r="B30" s="150"/>
      <c r="C30" s="140"/>
      <c r="D30" s="158"/>
      <c r="E30" s="159"/>
      <c r="F30" s="9"/>
      <c r="G30" s="161"/>
      <c r="H30" s="159"/>
      <c r="I30" s="9"/>
      <c r="J30" s="161"/>
      <c r="K30" s="159"/>
      <c r="L30" s="9"/>
      <c r="M30" s="161"/>
      <c r="N30" s="159"/>
      <c r="O30" s="9"/>
      <c r="P30" s="161"/>
      <c r="Q30" s="159"/>
      <c r="R30" s="9"/>
    </row>
    <row r="31" spans="2:19" ht="18.75" customHeight="1">
      <c r="B31" s="150"/>
      <c r="C31" s="138" t="s">
        <v>20</v>
      </c>
      <c r="D31" s="152" t="s">
        <v>639</v>
      </c>
      <c r="E31" s="153"/>
      <c r="F31" s="6">
        <v>0.5</v>
      </c>
      <c r="G31" s="154" t="s">
        <v>499</v>
      </c>
      <c r="H31" s="155"/>
      <c r="I31" s="7">
        <v>1</v>
      </c>
      <c r="J31" s="154" t="s">
        <v>37</v>
      </c>
      <c r="K31" s="155"/>
      <c r="L31" s="7">
        <v>0.5</v>
      </c>
      <c r="M31" s="154" t="s">
        <v>474</v>
      </c>
      <c r="N31" s="155"/>
      <c r="O31" s="7">
        <v>4</v>
      </c>
      <c r="P31" s="154" t="s">
        <v>474</v>
      </c>
      <c r="Q31" s="155"/>
      <c r="R31" s="7">
        <v>4</v>
      </c>
    </row>
    <row r="32" spans="2:19" ht="18.75" customHeight="1">
      <c r="B32" s="150"/>
      <c r="C32" s="139"/>
      <c r="D32" s="157" t="s">
        <v>640</v>
      </c>
      <c r="E32" s="155"/>
      <c r="F32" s="7">
        <v>1.5</v>
      </c>
      <c r="G32" s="154" t="s">
        <v>641</v>
      </c>
      <c r="H32" s="155"/>
      <c r="I32" s="7">
        <v>1.5</v>
      </c>
      <c r="J32" s="154" t="s">
        <v>474</v>
      </c>
      <c r="K32" s="155"/>
      <c r="L32" s="7">
        <v>3.5</v>
      </c>
      <c r="M32" s="154"/>
      <c r="N32" s="155"/>
      <c r="O32" s="7"/>
      <c r="P32" s="154"/>
      <c r="Q32" s="155"/>
      <c r="R32" s="7"/>
    </row>
    <row r="33" spans="2:18" ht="18.75" customHeight="1">
      <c r="B33" s="150"/>
      <c r="C33" s="139"/>
      <c r="D33" s="157" t="s">
        <v>642</v>
      </c>
      <c r="E33" s="155"/>
      <c r="F33" s="7">
        <v>1.5</v>
      </c>
      <c r="G33" s="154" t="s">
        <v>618</v>
      </c>
      <c r="H33" s="155"/>
      <c r="I33" s="7">
        <v>1.5</v>
      </c>
      <c r="J33" s="154"/>
      <c r="K33" s="155"/>
      <c r="L33" s="7"/>
      <c r="M33" s="154"/>
      <c r="N33" s="155"/>
      <c r="O33" s="7"/>
      <c r="P33" s="154"/>
      <c r="Q33" s="155"/>
      <c r="R33" s="7"/>
    </row>
    <row r="34" spans="2:18" ht="18.75" customHeight="1">
      <c r="B34" s="150"/>
      <c r="C34" s="139"/>
      <c r="D34" s="157"/>
      <c r="E34" s="155"/>
      <c r="F34" s="7"/>
      <c r="G34" s="154"/>
      <c r="H34" s="155"/>
      <c r="I34" s="7"/>
      <c r="J34" s="154"/>
      <c r="K34" s="155"/>
      <c r="L34" s="7"/>
      <c r="M34" s="154"/>
      <c r="N34" s="155"/>
      <c r="O34" s="7"/>
      <c r="P34" s="154"/>
      <c r="Q34" s="155"/>
      <c r="R34" s="7"/>
    </row>
    <row r="35" spans="2:18" ht="19.5" customHeight="1" thickBot="1">
      <c r="B35" s="150"/>
      <c r="C35" s="140"/>
      <c r="D35" s="157"/>
      <c r="E35" s="155"/>
      <c r="F35" s="7"/>
      <c r="G35" s="161"/>
      <c r="H35" s="159"/>
      <c r="I35" s="9"/>
      <c r="J35" s="161"/>
      <c r="K35" s="159"/>
      <c r="L35" s="9"/>
      <c r="M35" s="161"/>
      <c r="N35" s="159"/>
      <c r="O35" s="9"/>
      <c r="P35" s="161"/>
      <c r="Q35" s="159"/>
      <c r="R35" s="9"/>
    </row>
    <row r="36" spans="2:18" ht="19.5" thickBot="1">
      <c r="B36" s="151"/>
      <c r="C36" s="18" t="s">
        <v>76</v>
      </c>
      <c r="D36" s="17"/>
      <c r="E36" s="17"/>
      <c r="F36" s="18">
        <f>SUM(F26:F35)</f>
        <v>7</v>
      </c>
      <c r="G36" s="17"/>
      <c r="H36" s="17"/>
      <c r="I36" s="18">
        <f>SUM(I26:I35)</f>
        <v>7</v>
      </c>
      <c r="J36" s="17"/>
      <c r="K36" s="17"/>
      <c r="L36" s="18">
        <f>SUM(L26:L35)</f>
        <v>7</v>
      </c>
      <c r="M36" s="17"/>
      <c r="N36" s="17"/>
      <c r="O36" s="18">
        <f>SUM(O26:O35)</f>
        <v>7</v>
      </c>
      <c r="P36" s="17"/>
      <c r="Q36" s="17"/>
      <c r="R36" s="18">
        <f>SUM(R26:R35)</f>
        <v>7</v>
      </c>
    </row>
    <row r="38" spans="2:18">
      <c r="B38" s="294" t="s">
        <v>182</v>
      </c>
      <c r="C38" s="295"/>
      <c r="D38" s="103" t="s">
        <v>183</v>
      </c>
      <c r="F38" s="296" t="s">
        <v>184</v>
      </c>
      <c r="G38" s="296"/>
    </row>
  </sheetData>
  <mergeCells count="186"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  <mergeCell ref="B4:B14"/>
    <mergeCell ref="C4:C8"/>
    <mergeCell ref="D4:E4"/>
    <mergeCell ref="G4:H4"/>
    <mergeCell ref="J4:K4"/>
    <mergeCell ref="M4:N4"/>
    <mergeCell ref="P4:Q4"/>
    <mergeCell ref="D6:E6"/>
    <mergeCell ref="K2:K3"/>
    <mergeCell ref="L2:L3"/>
    <mergeCell ref="M2:M3"/>
    <mergeCell ref="N2:N3"/>
    <mergeCell ref="O2:O3"/>
    <mergeCell ref="P2:P3"/>
    <mergeCell ref="D8:E8"/>
    <mergeCell ref="G8:H8"/>
    <mergeCell ref="J8:K8"/>
    <mergeCell ref="M8:N8"/>
    <mergeCell ref="P8:Q8"/>
    <mergeCell ref="P10:Q10"/>
    <mergeCell ref="D11:E11"/>
    <mergeCell ref="G11:H11"/>
    <mergeCell ref="J11:K11"/>
    <mergeCell ref="M11:N11"/>
    <mergeCell ref="S4:T4"/>
    <mergeCell ref="D5:E5"/>
    <mergeCell ref="G5:H5"/>
    <mergeCell ref="J5:K5"/>
    <mergeCell ref="M5:N5"/>
    <mergeCell ref="P5:Q5"/>
    <mergeCell ref="S5:T5"/>
    <mergeCell ref="Q2:Q3"/>
    <mergeCell ref="R2:R3"/>
    <mergeCell ref="S8:T8"/>
    <mergeCell ref="G6:H6"/>
    <mergeCell ref="J6:K6"/>
    <mergeCell ref="M6:N6"/>
    <mergeCell ref="P6:Q6"/>
    <mergeCell ref="S6:T6"/>
    <mergeCell ref="D7:E7"/>
    <mergeCell ref="G7:H7"/>
    <mergeCell ref="J7:K7"/>
    <mergeCell ref="M7:N7"/>
    <mergeCell ref="P7:Q7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3:E13"/>
    <mergeCell ref="G13:H13"/>
    <mergeCell ref="J13:K13"/>
    <mergeCell ref="M13:N13"/>
    <mergeCell ref="P13:Q13"/>
    <mergeCell ref="S13:T13"/>
    <mergeCell ref="S11:T11"/>
    <mergeCell ref="D12:E12"/>
    <mergeCell ref="G12:H12"/>
    <mergeCell ref="J12:K12"/>
    <mergeCell ref="M12:N12"/>
    <mergeCell ref="P12:Q12"/>
    <mergeCell ref="S12:T12"/>
    <mergeCell ref="P15:Q15"/>
    <mergeCell ref="P11:Q11"/>
    <mergeCell ref="D16:E16"/>
    <mergeCell ref="G16:H16"/>
    <mergeCell ref="J16:K16"/>
    <mergeCell ref="M16:N16"/>
    <mergeCell ref="P16:Q16"/>
    <mergeCell ref="B15:B25"/>
    <mergeCell ref="C15:C19"/>
    <mergeCell ref="D15:E15"/>
    <mergeCell ref="G15:H15"/>
    <mergeCell ref="J15:K15"/>
    <mergeCell ref="M15:N15"/>
    <mergeCell ref="D17:E17"/>
    <mergeCell ref="G17:H17"/>
    <mergeCell ref="J17:K17"/>
    <mergeCell ref="M17:N17"/>
    <mergeCell ref="C20:C24"/>
    <mergeCell ref="D20:E20"/>
    <mergeCell ref="G20:H20"/>
    <mergeCell ref="J20:K20"/>
    <mergeCell ref="M20:N20"/>
    <mergeCell ref="P17:Q17"/>
    <mergeCell ref="D18:E18"/>
    <mergeCell ref="G18:H18"/>
    <mergeCell ref="J18:K18"/>
    <mergeCell ref="M18:N18"/>
    <mergeCell ref="P18:Q18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  <mergeCell ref="M26:N26"/>
    <mergeCell ref="P26:Q26"/>
    <mergeCell ref="D27:E27"/>
    <mergeCell ref="G27:H27"/>
    <mergeCell ref="J27:K27"/>
    <mergeCell ref="M27:N27"/>
    <mergeCell ref="P27:Q27"/>
    <mergeCell ref="D24:E24"/>
    <mergeCell ref="G24:H24"/>
    <mergeCell ref="J24:K24"/>
    <mergeCell ref="M24:N24"/>
    <mergeCell ref="P24:Q24"/>
    <mergeCell ref="D26:E26"/>
    <mergeCell ref="G26:H26"/>
    <mergeCell ref="J26:K26"/>
    <mergeCell ref="D28:E28"/>
    <mergeCell ref="G28:H28"/>
    <mergeCell ref="J28:K28"/>
    <mergeCell ref="M28:N28"/>
    <mergeCell ref="P28:Q28"/>
    <mergeCell ref="D29:E29"/>
    <mergeCell ref="G29:H29"/>
    <mergeCell ref="J29:K29"/>
    <mergeCell ref="M29:N29"/>
    <mergeCell ref="P29:Q29"/>
    <mergeCell ref="M32:N32"/>
    <mergeCell ref="P32:Q32"/>
    <mergeCell ref="D30:E30"/>
    <mergeCell ref="G30:H30"/>
    <mergeCell ref="J30:K30"/>
    <mergeCell ref="M30:N30"/>
    <mergeCell ref="P30:Q30"/>
    <mergeCell ref="D31:E31"/>
    <mergeCell ref="G31:H31"/>
    <mergeCell ref="J31:K31"/>
    <mergeCell ref="M31:N31"/>
    <mergeCell ref="D35:E35"/>
    <mergeCell ref="G35:H35"/>
    <mergeCell ref="J35:K35"/>
    <mergeCell ref="M35:N35"/>
    <mergeCell ref="P35:Q35"/>
    <mergeCell ref="B38:C38"/>
    <mergeCell ref="F38:G38"/>
    <mergeCell ref="D33:E33"/>
    <mergeCell ref="G33:H33"/>
    <mergeCell ref="J33:K33"/>
    <mergeCell ref="M33:N33"/>
    <mergeCell ref="P33:Q33"/>
    <mergeCell ref="D34:E34"/>
    <mergeCell ref="G34:H34"/>
    <mergeCell ref="J34:K34"/>
    <mergeCell ref="M34:N34"/>
    <mergeCell ref="P34:Q34"/>
    <mergeCell ref="C31:C35"/>
    <mergeCell ref="B26:B36"/>
    <mergeCell ref="C26:C30"/>
    <mergeCell ref="P31:Q31"/>
    <mergeCell ref="D32:E32"/>
    <mergeCell ref="G32:H32"/>
    <mergeCell ref="J32:K32"/>
  </mergeCells>
  <phoneticPr fontId="1"/>
  <pageMargins left="0.7" right="0.7" top="0.75" bottom="0.75" header="0.3" footer="0.3"/>
  <pageSetup paperSize="8" scale="67" orientation="landscape" horizontalDpi="1200" verticalDpi="120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E4F8-F7A5-45CF-8AEE-05BB2530DD42}">
  <sheetPr codeName="Sheet19"/>
  <dimension ref="B1:T38"/>
  <sheetViews>
    <sheetView view="pageBreakPreview" zoomScale="70" zoomScaleNormal="100" zoomScaleSheetLayoutView="70" workbookViewId="0">
      <selection activeCell="G18" sqref="G18:H18"/>
    </sheetView>
  </sheetViews>
  <sheetFormatPr defaultRowHeight="18.75"/>
  <cols>
    <col min="1" max="1" width="2.5" customWidth="1"/>
    <col min="4" max="18" width="16" customWidth="1"/>
  </cols>
  <sheetData>
    <row r="1" spans="2:20" ht="24.75" thickBot="1">
      <c r="D1" s="53">
        <v>45698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20" s="5" customFormat="1">
      <c r="B2" s="201"/>
      <c r="C2" s="202"/>
      <c r="D2" s="205">
        <f>D1</f>
        <v>45698</v>
      </c>
      <c r="E2" s="195" t="s">
        <v>3</v>
      </c>
      <c r="F2" s="191" t="s">
        <v>4</v>
      </c>
      <c r="G2" s="197">
        <f>D2+1</f>
        <v>45699</v>
      </c>
      <c r="H2" s="195" t="s">
        <v>5</v>
      </c>
      <c r="I2" s="191" t="s">
        <v>4</v>
      </c>
      <c r="J2" s="197">
        <f>G2+1</f>
        <v>45700</v>
      </c>
      <c r="K2" s="195" t="s">
        <v>6</v>
      </c>
      <c r="L2" s="191" t="s">
        <v>4</v>
      </c>
      <c r="M2" s="197">
        <f>J2+1</f>
        <v>45701</v>
      </c>
      <c r="N2" s="195" t="s">
        <v>7</v>
      </c>
      <c r="O2" s="191" t="s">
        <v>4</v>
      </c>
      <c r="P2" s="197">
        <f>M2+1</f>
        <v>45702</v>
      </c>
      <c r="Q2" s="195" t="s">
        <v>8</v>
      </c>
      <c r="R2" s="191" t="s">
        <v>4</v>
      </c>
    </row>
    <row r="3" spans="2:20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20" ht="18.75" customHeight="1">
      <c r="B4" s="303" t="s">
        <v>31</v>
      </c>
      <c r="C4" s="138" t="s">
        <v>9</v>
      </c>
      <c r="D4" s="156" t="s">
        <v>67</v>
      </c>
      <c r="E4" s="153"/>
      <c r="F4" s="6">
        <v>0.5</v>
      </c>
      <c r="G4" s="156"/>
      <c r="H4" s="153"/>
      <c r="I4" s="6"/>
      <c r="J4" s="264" t="s">
        <v>67</v>
      </c>
      <c r="K4" s="153"/>
      <c r="L4" s="6">
        <v>0.5</v>
      </c>
      <c r="M4" s="264" t="s">
        <v>67</v>
      </c>
      <c r="N4" s="153"/>
      <c r="O4" s="6">
        <v>0.5</v>
      </c>
      <c r="P4" s="264" t="s">
        <v>67</v>
      </c>
      <c r="Q4" s="153"/>
      <c r="R4" s="6">
        <v>0.5</v>
      </c>
      <c r="S4" s="211"/>
      <c r="T4" s="211"/>
    </row>
    <row r="5" spans="2:20" ht="18.75" customHeight="1">
      <c r="B5" s="304"/>
      <c r="C5" s="139"/>
      <c r="D5" s="154" t="s">
        <v>71</v>
      </c>
      <c r="E5" s="155"/>
      <c r="F5" s="7">
        <v>0.1</v>
      </c>
      <c r="G5" s="154"/>
      <c r="H5" s="155"/>
      <c r="I5" s="7"/>
      <c r="J5" s="157" t="s">
        <v>71</v>
      </c>
      <c r="K5" s="155"/>
      <c r="L5" s="7">
        <v>0.1</v>
      </c>
      <c r="M5" s="157" t="s">
        <v>71</v>
      </c>
      <c r="N5" s="155"/>
      <c r="O5" s="7">
        <v>0.1</v>
      </c>
      <c r="P5" s="157" t="s">
        <v>71</v>
      </c>
      <c r="Q5" s="155"/>
      <c r="R5" s="7">
        <v>0.1</v>
      </c>
      <c r="S5" s="211"/>
      <c r="T5" s="211"/>
    </row>
    <row r="6" spans="2:20" ht="18.75" customHeight="1">
      <c r="B6" s="304"/>
      <c r="C6" s="139"/>
      <c r="D6" s="154" t="s">
        <v>525</v>
      </c>
      <c r="E6" s="155"/>
      <c r="F6" s="104">
        <v>0.5</v>
      </c>
      <c r="G6" s="253"/>
      <c r="H6" s="227"/>
      <c r="I6" s="16"/>
      <c r="J6" s="283" t="s">
        <v>615</v>
      </c>
      <c r="K6" s="245"/>
      <c r="L6" s="16">
        <v>0.5</v>
      </c>
      <c r="M6" s="283" t="s">
        <v>604</v>
      </c>
      <c r="N6" s="245"/>
      <c r="O6" s="16">
        <v>2.5</v>
      </c>
      <c r="P6" s="283" t="s">
        <v>604</v>
      </c>
      <c r="Q6" s="245"/>
      <c r="R6" s="16">
        <v>2.5</v>
      </c>
      <c r="S6" s="212"/>
      <c r="T6" s="212"/>
    </row>
    <row r="7" spans="2:20" ht="18.75" customHeight="1">
      <c r="B7" s="304"/>
      <c r="C7" s="139"/>
      <c r="D7" s="154" t="s">
        <v>624</v>
      </c>
      <c r="E7" s="155"/>
      <c r="F7" s="16">
        <v>1.5</v>
      </c>
      <c r="G7" s="183"/>
      <c r="H7" s="184"/>
      <c r="I7" s="58"/>
      <c r="J7" s="154"/>
      <c r="K7" s="155"/>
      <c r="L7" s="16"/>
      <c r="M7" s="226"/>
      <c r="N7" s="227"/>
      <c r="O7" s="16"/>
      <c r="P7" s="283" t="s">
        <v>476</v>
      </c>
      <c r="Q7" s="245"/>
      <c r="R7" s="16">
        <v>1.5</v>
      </c>
      <c r="S7" s="8"/>
      <c r="T7" s="8"/>
    </row>
    <row r="8" spans="2:20" ht="19.5" customHeight="1" thickBot="1">
      <c r="B8" s="304"/>
      <c r="C8" s="139"/>
      <c r="D8" s="154" t="s">
        <v>616</v>
      </c>
      <c r="E8" s="155"/>
      <c r="F8" s="109">
        <v>1</v>
      </c>
      <c r="G8" s="213"/>
      <c r="H8" s="306"/>
      <c r="I8" s="100"/>
      <c r="J8" s="307"/>
      <c r="K8" s="302"/>
      <c r="L8" s="101"/>
      <c r="M8" s="160"/>
      <c r="N8" s="159"/>
      <c r="O8" s="97"/>
      <c r="P8" s="161"/>
      <c r="Q8" s="159"/>
      <c r="R8" s="9"/>
      <c r="S8" s="214"/>
      <c r="T8" s="214"/>
    </row>
    <row r="9" spans="2:20" ht="18.75" customHeight="1">
      <c r="B9" s="304"/>
      <c r="C9" s="138" t="s">
        <v>20</v>
      </c>
      <c r="D9" s="156" t="s">
        <v>623</v>
      </c>
      <c r="E9" s="153"/>
      <c r="F9" s="92">
        <v>4.1500000000000004</v>
      </c>
      <c r="G9" s="156"/>
      <c r="H9" s="153"/>
      <c r="I9" s="92"/>
      <c r="J9" s="242" t="s">
        <v>614</v>
      </c>
      <c r="K9" s="243"/>
      <c r="L9" s="92">
        <v>6.3</v>
      </c>
      <c r="M9" s="156" t="s">
        <v>603</v>
      </c>
      <c r="N9" s="153"/>
      <c r="O9" s="92">
        <v>1.55</v>
      </c>
      <c r="P9" s="156" t="s">
        <v>600</v>
      </c>
      <c r="Q9" s="153"/>
      <c r="R9" s="92">
        <v>1.65</v>
      </c>
      <c r="S9" s="11"/>
      <c r="T9" s="11"/>
    </row>
    <row r="10" spans="2:20" ht="18.75" customHeight="1">
      <c r="B10" s="304"/>
      <c r="C10" s="139"/>
      <c r="D10" s="154"/>
      <c r="E10" s="155"/>
      <c r="F10" s="104"/>
      <c r="G10" s="154"/>
      <c r="H10" s="155"/>
      <c r="I10" s="56"/>
      <c r="J10" s="253"/>
      <c r="K10" s="227"/>
      <c r="L10" s="106"/>
      <c r="M10" s="154" t="s">
        <v>602</v>
      </c>
      <c r="N10" s="155"/>
      <c r="O10" s="104">
        <v>1.5</v>
      </c>
      <c r="P10" s="154" t="s">
        <v>602</v>
      </c>
      <c r="Q10" s="155"/>
      <c r="R10" s="104">
        <v>1.5</v>
      </c>
      <c r="S10" s="11"/>
      <c r="T10" s="11"/>
    </row>
    <row r="11" spans="2:20" ht="18.75" customHeight="1">
      <c r="B11" s="304"/>
      <c r="C11" s="139"/>
      <c r="D11" s="226"/>
      <c r="E11" s="227"/>
      <c r="F11" s="16"/>
      <c r="G11" s="154"/>
      <c r="H11" s="155"/>
      <c r="I11" s="104"/>
      <c r="J11" s="253" t="s">
        <v>550</v>
      </c>
      <c r="K11" s="227"/>
      <c r="L11" s="106"/>
      <c r="M11" s="253" t="s">
        <v>550</v>
      </c>
      <c r="N11" s="227"/>
      <c r="O11" s="16"/>
      <c r="P11" s="253"/>
      <c r="Q11" s="227"/>
      <c r="R11" s="16"/>
      <c r="S11" s="215"/>
      <c r="T11" s="215"/>
    </row>
    <row r="12" spans="2:20" ht="18.75" customHeight="1">
      <c r="B12" s="304"/>
      <c r="C12" s="139"/>
      <c r="D12" s="300"/>
      <c r="E12" s="155"/>
      <c r="F12" s="7"/>
      <c r="G12" s="154"/>
      <c r="H12" s="155"/>
      <c r="I12" s="7"/>
      <c r="J12" s="244" t="s">
        <v>528</v>
      </c>
      <c r="K12" s="245"/>
      <c r="L12" s="16">
        <v>0.1</v>
      </c>
      <c r="M12" s="283" t="s">
        <v>528</v>
      </c>
      <c r="N12" s="245"/>
      <c r="O12" s="16">
        <v>0.1</v>
      </c>
      <c r="P12" s="301"/>
      <c r="Q12" s="302"/>
      <c r="R12" s="99"/>
      <c r="S12" s="214"/>
      <c r="T12" s="214"/>
    </row>
    <row r="13" spans="2:20" ht="19.5" customHeight="1" thickBot="1">
      <c r="B13" s="304"/>
      <c r="C13" s="140"/>
      <c r="D13" s="160"/>
      <c r="E13" s="159"/>
      <c r="F13" s="9"/>
      <c r="G13" s="161"/>
      <c r="H13" s="159"/>
      <c r="I13" s="9"/>
      <c r="J13" s="161" t="s">
        <v>68</v>
      </c>
      <c r="K13" s="159"/>
      <c r="L13" s="9">
        <v>0.25</v>
      </c>
      <c r="M13" s="160" t="s">
        <v>206</v>
      </c>
      <c r="N13" s="159"/>
      <c r="O13" s="9">
        <v>1.5</v>
      </c>
      <c r="P13" s="161"/>
      <c r="Q13" s="159"/>
      <c r="R13" s="9"/>
      <c r="S13" s="215"/>
      <c r="T13" s="215"/>
    </row>
    <row r="14" spans="2:20" ht="19.5" thickBot="1">
      <c r="B14" s="305"/>
      <c r="C14" s="18" t="s">
        <v>76</v>
      </c>
      <c r="D14" s="17"/>
      <c r="E14" s="17"/>
      <c r="F14" s="18">
        <f>SUM(F4:F13)</f>
        <v>7.75</v>
      </c>
      <c r="G14" s="17"/>
      <c r="H14" s="17"/>
      <c r="I14" s="18">
        <f>SUM(I4:I13)</f>
        <v>0</v>
      </c>
      <c r="J14" s="98"/>
      <c r="K14" s="17"/>
      <c r="L14" s="18">
        <f>SUM(L4:L13)</f>
        <v>7.75</v>
      </c>
      <c r="M14" s="17"/>
      <c r="N14" s="17"/>
      <c r="O14" s="18">
        <f>SUM(O4:O13)</f>
        <v>7.75</v>
      </c>
      <c r="P14" s="98"/>
      <c r="Q14" s="17"/>
      <c r="R14" s="18">
        <f>SUM(R4:R13)</f>
        <v>7.75</v>
      </c>
    </row>
    <row r="15" spans="2:20" ht="18.75" customHeight="1">
      <c r="B15" s="149" t="s">
        <v>32</v>
      </c>
      <c r="C15" s="138" t="s">
        <v>9</v>
      </c>
      <c r="D15" s="231" t="s">
        <v>551</v>
      </c>
      <c r="E15" s="232"/>
      <c r="F15" s="61">
        <v>0.5</v>
      </c>
      <c r="G15" s="231"/>
      <c r="H15" s="232"/>
      <c r="I15" s="61"/>
      <c r="J15" s="241" t="s">
        <v>166</v>
      </c>
      <c r="K15" s="232"/>
      <c r="L15" s="61">
        <v>0.5</v>
      </c>
      <c r="M15" s="241" t="s">
        <v>166</v>
      </c>
      <c r="N15" s="232"/>
      <c r="O15" s="61">
        <v>0.5</v>
      </c>
      <c r="P15" s="231" t="s">
        <v>166</v>
      </c>
      <c r="Q15" s="232"/>
      <c r="R15" s="61">
        <v>0.5</v>
      </c>
      <c r="S15" s="95"/>
    </row>
    <row r="16" spans="2:20">
      <c r="B16" s="150"/>
      <c r="C16" s="139"/>
      <c r="D16" s="233" t="s">
        <v>552</v>
      </c>
      <c r="E16" s="234"/>
      <c r="F16" s="62">
        <v>0.15</v>
      </c>
      <c r="G16" s="233"/>
      <c r="H16" s="234"/>
      <c r="I16" s="62"/>
      <c r="J16" s="183" t="s">
        <v>231</v>
      </c>
      <c r="K16" s="234"/>
      <c r="L16" s="62">
        <v>0.15</v>
      </c>
      <c r="M16" s="183" t="s">
        <v>232</v>
      </c>
      <c r="N16" s="234"/>
      <c r="O16" s="62">
        <v>0.15</v>
      </c>
      <c r="P16" s="183" t="s">
        <v>512</v>
      </c>
      <c r="Q16" s="234"/>
      <c r="R16" s="62">
        <v>0.15</v>
      </c>
      <c r="S16" s="95"/>
    </row>
    <row r="17" spans="2:19">
      <c r="B17" s="150"/>
      <c r="C17" s="139"/>
      <c r="D17" s="226" t="s">
        <v>605</v>
      </c>
      <c r="E17" s="227"/>
      <c r="F17" s="94">
        <v>1.5</v>
      </c>
      <c r="G17" s="226"/>
      <c r="H17" s="227"/>
      <c r="I17" s="94"/>
      <c r="J17" s="226" t="s">
        <v>606</v>
      </c>
      <c r="K17" s="227"/>
      <c r="L17" s="94">
        <v>1.5</v>
      </c>
      <c r="M17" s="183" t="s">
        <v>553</v>
      </c>
      <c r="N17" s="184"/>
      <c r="O17" s="94">
        <v>2.1</v>
      </c>
      <c r="P17" s="226" t="s">
        <v>607</v>
      </c>
      <c r="Q17" s="227"/>
      <c r="R17" s="94">
        <v>0.5</v>
      </c>
      <c r="S17" s="95"/>
    </row>
    <row r="18" spans="2:19">
      <c r="B18" s="150"/>
      <c r="C18" s="139"/>
      <c r="D18" s="226" t="s">
        <v>608</v>
      </c>
      <c r="E18" s="227"/>
      <c r="F18" s="94">
        <v>0.85</v>
      </c>
      <c r="G18" s="226"/>
      <c r="H18" s="227"/>
      <c r="I18" s="94"/>
      <c r="J18" s="183" t="s">
        <v>493</v>
      </c>
      <c r="K18" s="234"/>
      <c r="L18" s="66">
        <v>0.85</v>
      </c>
      <c r="M18" s="183"/>
      <c r="N18" s="184"/>
      <c r="O18" s="94"/>
      <c r="P18" s="226" t="s">
        <v>553</v>
      </c>
      <c r="Q18" s="227"/>
      <c r="R18" s="94">
        <v>0.85</v>
      </c>
      <c r="S18" s="8"/>
    </row>
    <row r="19" spans="2:19" ht="19.5" thickBot="1">
      <c r="B19" s="150"/>
      <c r="C19" s="140"/>
      <c r="D19" s="229"/>
      <c r="E19" s="230"/>
      <c r="F19" s="68"/>
      <c r="G19" s="229"/>
      <c r="H19" s="230"/>
      <c r="I19" s="68"/>
      <c r="J19" s="229"/>
      <c r="K19" s="230"/>
      <c r="L19" s="68"/>
      <c r="M19" s="239" t="s">
        <v>239</v>
      </c>
      <c r="N19" s="240"/>
      <c r="O19" s="93">
        <v>0.25</v>
      </c>
      <c r="P19" s="229" t="s">
        <v>555</v>
      </c>
      <c r="Q19" s="230"/>
      <c r="R19" s="68">
        <v>1</v>
      </c>
      <c r="S19" s="96"/>
    </row>
    <row r="20" spans="2:19" ht="18.75" customHeight="1">
      <c r="B20" s="150"/>
      <c r="C20" s="138" t="s">
        <v>20</v>
      </c>
      <c r="D20" s="226" t="s">
        <v>609</v>
      </c>
      <c r="E20" s="227"/>
      <c r="F20" s="94">
        <v>1.75</v>
      </c>
      <c r="G20" s="226"/>
      <c r="H20" s="227"/>
      <c r="I20" s="94"/>
      <c r="J20" s="183" t="s">
        <v>553</v>
      </c>
      <c r="K20" s="184"/>
      <c r="L20" s="94">
        <v>2</v>
      </c>
      <c r="M20" s="183" t="s">
        <v>553</v>
      </c>
      <c r="N20" s="184"/>
      <c r="O20" s="94">
        <v>1</v>
      </c>
      <c r="P20" s="183" t="s">
        <v>553</v>
      </c>
      <c r="Q20" s="184"/>
      <c r="R20" s="94">
        <v>2</v>
      </c>
      <c r="S20" s="11"/>
    </row>
    <row r="21" spans="2:19" ht="18.75" customHeight="1">
      <c r="B21" s="150"/>
      <c r="C21" s="139"/>
      <c r="D21" s="226" t="s">
        <v>610</v>
      </c>
      <c r="E21" s="227"/>
      <c r="F21" s="94">
        <v>1.5</v>
      </c>
      <c r="G21" s="226"/>
      <c r="H21" s="227"/>
      <c r="I21" s="94"/>
      <c r="J21" s="226" t="s">
        <v>610</v>
      </c>
      <c r="K21" s="227"/>
      <c r="L21" s="94">
        <v>1.5</v>
      </c>
      <c r="M21" s="226" t="s">
        <v>610</v>
      </c>
      <c r="N21" s="227"/>
      <c r="O21" s="94">
        <v>1.5</v>
      </c>
      <c r="P21" s="226" t="s">
        <v>610</v>
      </c>
      <c r="Q21" s="227"/>
      <c r="R21" s="94">
        <v>1.5</v>
      </c>
      <c r="S21" s="11"/>
    </row>
    <row r="22" spans="2:19" ht="18.75" customHeight="1">
      <c r="B22" s="150"/>
      <c r="C22" s="139"/>
      <c r="D22" s="183" t="s">
        <v>622</v>
      </c>
      <c r="E22" s="184"/>
      <c r="F22" s="94">
        <v>0.25</v>
      </c>
      <c r="G22" s="226"/>
      <c r="H22" s="227"/>
      <c r="I22" s="94"/>
      <c r="J22" s="183"/>
      <c r="K22" s="184"/>
      <c r="L22" s="66"/>
      <c r="M22" s="183" t="s">
        <v>611</v>
      </c>
      <c r="N22" s="184"/>
      <c r="O22" s="66">
        <v>1</v>
      </c>
      <c r="P22" s="183"/>
      <c r="Q22" s="184"/>
      <c r="R22" s="94"/>
      <c r="S22" s="96"/>
    </row>
    <row r="23" spans="2:19" ht="18.75" customHeight="1">
      <c r="B23" s="150"/>
      <c r="C23" s="139"/>
      <c r="D23" s="183" t="s">
        <v>612</v>
      </c>
      <c r="E23" s="184"/>
      <c r="F23" s="94">
        <v>0.5</v>
      </c>
      <c r="G23" s="183"/>
      <c r="H23" s="184"/>
      <c r="I23" s="94"/>
      <c r="J23" s="183" t="s">
        <v>612</v>
      </c>
      <c r="K23" s="184"/>
      <c r="L23" s="94">
        <v>0.5</v>
      </c>
      <c r="M23" s="183" t="s">
        <v>613</v>
      </c>
      <c r="N23" s="184"/>
      <c r="O23" s="94">
        <v>0.5</v>
      </c>
      <c r="P23" s="183" t="s">
        <v>585</v>
      </c>
      <c r="Q23" s="184"/>
      <c r="R23" s="94">
        <v>0.5</v>
      </c>
      <c r="S23" s="96"/>
    </row>
    <row r="24" spans="2:19" ht="19.5" customHeight="1" thickBot="1">
      <c r="B24" s="150"/>
      <c r="C24" s="140"/>
      <c r="D24" s="297" t="s">
        <v>561</v>
      </c>
      <c r="E24" s="228"/>
      <c r="F24" s="60">
        <v>0.75</v>
      </c>
      <c r="G24" s="297"/>
      <c r="H24" s="228"/>
      <c r="I24" s="60"/>
      <c r="J24" s="298" t="s">
        <v>174</v>
      </c>
      <c r="K24" s="299"/>
      <c r="L24" s="93">
        <v>0.75</v>
      </c>
      <c r="M24" s="297" t="s">
        <v>174</v>
      </c>
      <c r="N24" s="228"/>
      <c r="O24" s="60">
        <v>0.75</v>
      </c>
      <c r="P24" s="297" t="s">
        <v>174</v>
      </c>
      <c r="Q24" s="228"/>
      <c r="R24" s="60">
        <v>0.75</v>
      </c>
    </row>
    <row r="25" spans="2:19" ht="19.5" thickBot="1">
      <c r="B25" s="151"/>
      <c r="C25" s="18" t="s">
        <v>76</v>
      </c>
      <c r="D25" s="17"/>
      <c r="E25" s="17"/>
      <c r="F25" s="18">
        <f>SUM(F15:F24)</f>
        <v>7.75</v>
      </c>
      <c r="G25" s="17"/>
      <c r="H25" s="17"/>
      <c r="I25" s="18">
        <f>SUM(I15:I24)</f>
        <v>0</v>
      </c>
      <c r="J25" s="17"/>
      <c r="K25" s="17"/>
      <c r="L25" s="18">
        <f>SUM(L15:L24)</f>
        <v>7.75</v>
      </c>
      <c r="M25" s="17"/>
      <c r="N25" s="17"/>
      <c r="O25" s="18">
        <f>SUM(O15:O24)</f>
        <v>7.75</v>
      </c>
      <c r="P25" s="17"/>
      <c r="Q25" s="17"/>
      <c r="R25" s="18">
        <f>SUM(R15:R24)</f>
        <v>7.75</v>
      </c>
    </row>
    <row r="26" spans="2:19" ht="18.75" customHeight="1">
      <c r="B26" s="149" t="s">
        <v>65</v>
      </c>
      <c r="C26" s="138" t="s">
        <v>9</v>
      </c>
      <c r="D26" s="308" t="s">
        <v>617</v>
      </c>
      <c r="E26" s="232"/>
      <c r="F26" s="61">
        <v>1.5</v>
      </c>
      <c r="G26" s="183"/>
      <c r="H26" s="184"/>
      <c r="I26" s="75"/>
      <c r="J26" s="183" t="s">
        <v>474</v>
      </c>
      <c r="K26" s="184"/>
      <c r="L26" s="75">
        <v>3</v>
      </c>
      <c r="M26" s="183" t="s">
        <v>474</v>
      </c>
      <c r="N26" s="184"/>
      <c r="O26" s="75">
        <v>3</v>
      </c>
      <c r="P26" s="193" t="s">
        <v>37</v>
      </c>
      <c r="Q26" s="194"/>
      <c r="R26" s="6">
        <v>0.25</v>
      </c>
    </row>
    <row r="27" spans="2:19" ht="18.75" customHeight="1">
      <c r="B27" s="150"/>
      <c r="C27" s="139"/>
      <c r="D27" s="233" t="s">
        <v>618</v>
      </c>
      <c r="E27" s="184"/>
      <c r="F27" s="32">
        <v>1</v>
      </c>
      <c r="G27" s="183"/>
      <c r="H27" s="184"/>
      <c r="I27" s="32"/>
      <c r="J27" s="183"/>
      <c r="K27" s="184"/>
      <c r="L27" s="32"/>
      <c r="M27" s="183"/>
      <c r="N27" s="184"/>
      <c r="O27" s="32"/>
      <c r="P27" s="183" t="s">
        <v>474</v>
      </c>
      <c r="Q27" s="184"/>
      <c r="R27" s="7">
        <v>2.75</v>
      </c>
    </row>
    <row r="28" spans="2:19" ht="18.75" customHeight="1">
      <c r="B28" s="150"/>
      <c r="C28" s="139"/>
      <c r="D28" s="233" t="s">
        <v>619</v>
      </c>
      <c r="E28" s="184"/>
      <c r="F28" s="32">
        <v>1</v>
      </c>
      <c r="G28" s="183"/>
      <c r="H28" s="184"/>
      <c r="I28" s="32"/>
      <c r="J28" s="183"/>
      <c r="K28" s="184"/>
      <c r="L28" s="32"/>
      <c r="M28" s="183"/>
      <c r="N28" s="184"/>
      <c r="O28" s="32"/>
      <c r="P28" s="183"/>
      <c r="Q28" s="184"/>
      <c r="R28" s="7"/>
    </row>
    <row r="29" spans="2:19" ht="18.75" customHeight="1">
      <c r="B29" s="150"/>
      <c r="C29" s="139"/>
      <c r="D29" s="233"/>
      <c r="E29" s="184"/>
      <c r="F29" s="32"/>
      <c r="G29" s="183"/>
      <c r="H29" s="184"/>
      <c r="I29" s="76"/>
      <c r="J29" s="183"/>
      <c r="K29" s="184"/>
      <c r="L29" s="76"/>
      <c r="M29" s="183"/>
      <c r="N29" s="184"/>
      <c r="O29" s="76"/>
      <c r="P29" s="183"/>
      <c r="Q29" s="184"/>
      <c r="R29" s="12"/>
    </row>
    <row r="30" spans="2:19" ht="19.5" customHeight="1" thickBot="1">
      <c r="B30" s="150"/>
      <c r="C30" s="140"/>
      <c r="D30" s="309"/>
      <c r="E30" s="179"/>
      <c r="F30" s="59"/>
      <c r="G30" s="223"/>
      <c r="H30" s="179"/>
      <c r="I30" s="59"/>
      <c r="J30" s="223"/>
      <c r="K30" s="179"/>
      <c r="L30" s="59"/>
      <c r="M30" s="223"/>
      <c r="N30" s="179"/>
      <c r="O30" s="59"/>
      <c r="P30" s="223"/>
      <c r="Q30" s="179"/>
      <c r="R30" s="9"/>
    </row>
    <row r="31" spans="2:19" ht="18.75" customHeight="1">
      <c r="B31" s="150"/>
      <c r="C31" s="138" t="s">
        <v>20</v>
      </c>
      <c r="D31" s="308" t="s">
        <v>620</v>
      </c>
      <c r="E31" s="232"/>
      <c r="F31" s="61">
        <v>2</v>
      </c>
      <c r="G31" s="183"/>
      <c r="H31" s="184"/>
      <c r="I31" s="32"/>
      <c r="J31" s="183" t="s">
        <v>37</v>
      </c>
      <c r="K31" s="184"/>
      <c r="L31" s="32">
        <v>0.5</v>
      </c>
      <c r="M31" s="183" t="s">
        <v>474</v>
      </c>
      <c r="N31" s="184"/>
      <c r="O31" s="32">
        <v>4</v>
      </c>
      <c r="P31" s="183" t="s">
        <v>474</v>
      </c>
      <c r="Q31" s="184"/>
      <c r="R31" s="7">
        <v>4</v>
      </c>
    </row>
    <row r="32" spans="2:19" ht="18.75" customHeight="1">
      <c r="B32" s="150"/>
      <c r="C32" s="139"/>
      <c r="D32" s="233" t="s">
        <v>621</v>
      </c>
      <c r="E32" s="184"/>
      <c r="F32" s="32">
        <v>1.5</v>
      </c>
      <c r="G32" s="183"/>
      <c r="H32" s="184"/>
      <c r="I32" s="32"/>
      <c r="J32" s="183" t="s">
        <v>474</v>
      </c>
      <c r="K32" s="184"/>
      <c r="L32" s="32">
        <v>3.5</v>
      </c>
      <c r="M32" s="183"/>
      <c r="N32" s="184"/>
      <c r="O32" s="32"/>
      <c r="P32" s="183"/>
      <c r="Q32" s="184"/>
      <c r="R32" s="7"/>
    </row>
    <row r="33" spans="2:18" ht="18.75" customHeight="1">
      <c r="B33" s="150"/>
      <c r="C33" s="139"/>
      <c r="D33" s="233"/>
      <c r="E33" s="184"/>
      <c r="F33" s="32"/>
      <c r="G33" s="183"/>
      <c r="H33" s="184"/>
      <c r="I33" s="32"/>
      <c r="J33" s="183"/>
      <c r="K33" s="184"/>
      <c r="L33" s="32"/>
      <c r="M33" s="183"/>
      <c r="N33" s="184"/>
      <c r="O33" s="32"/>
      <c r="P33" s="183"/>
      <c r="Q33" s="184"/>
      <c r="R33" s="7"/>
    </row>
    <row r="34" spans="2:18" ht="18.75" customHeight="1">
      <c r="B34" s="150"/>
      <c r="C34" s="139"/>
      <c r="D34" s="233"/>
      <c r="E34" s="184"/>
      <c r="F34" s="32"/>
      <c r="G34" s="183"/>
      <c r="H34" s="184"/>
      <c r="I34" s="32"/>
      <c r="J34" s="183"/>
      <c r="K34" s="184"/>
      <c r="L34" s="32"/>
      <c r="M34" s="183"/>
      <c r="N34" s="184"/>
      <c r="O34" s="32"/>
      <c r="P34" s="183"/>
      <c r="Q34" s="184"/>
      <c r="R34" s="7"/>
    </row>
    <row r="35" spans="2:18" ht="19.5" customHeight="1" thickBot="1">
      <c r="B35" s="150"/>
      <c r="C35" s="140"/>
      <c r="D35" s="157"/>
      <c r="E35" s="155"/>
      <c r="F35" s="7"/>
      <c r="G35" s="161"/>
      <c r="H35" s="159"/>
      <c r="I35" s="9"/>
      <c r="J35" s="161"/>
      <c r="K35" s="159"/>
      <c r="L35" s="9"/>
      <c r="M35" s="161"/>
      <c r="N35" s="159"/>
      <c r="O35" s="9"/>
      <c r="P35" s="161"/>
      <c r="Q35" s="159"/>
      <c r="R35" s="9"/>
    </row>
    <row r="36" spans="2:18" ht="19.5" thickBot="1">
      <c r="B36" s="151"/>
      <c r="C36" s="18" t="s">
        <v>76</v>
      </c>
      <c r="D36" s="17"/>
      <c r="E36" s="17"/>
      <c r="F36" s="18">
        <f>SUM(F26:F35)</f>
        <v>7</v>
      </c>
      <c r="G36" s="17"/>
      <c r="H36" s="17"/>
      <c r="I36" s="18">
        <f>SUM(I26:I35)</f>
        <v>0</v>
      </c>
      <c r="J36" s="17"/>
      <c r="K36" s="17"/>
      <c r="L36" s="18">
        <f>SUM(L26:L35)</f>
        <v>7</v>
      </c>
      <c r="M36" s="17"/>
      <c r="N36" s="17"/>
      <c r="O36" s="18">
        <f>SUM(O26:O35)</f>
        <v>7</v>
      </c>
      <c r="P36" s="17"/>
      <c r="Q36" s="17"/>
      <c r="R36" s="18">
        <f>SUM(R26:R35)</f>
        <v>7</v>
      </c>
    </row>
    <row r="38" spans="2:18">
      <c r="B38" s="294" t="s">
        <v>182</v>
      </c>
      <c r="C38" s="295"/>
      <c r="D38" s="103" t="s">
        <v>183</v>
      </c>
      <c r="F38" s="296" t="s">
        <v>184</v>
      </c>
      <c r="G38" s="296"/>
    </row>
  </sheetData>
  <mergeCells count="186">
    <mergeCell ref="D35:E35"/>
    <mergeCell ref="G35:H35"/>
    <mergeCell ref="J35:K35"/>
    <mergeCell ref="M35:N35"/>
    <mergeCell ref="P35:Q35"/>
    <mergeCell ref="B38:C38"/>
    <mergeCell ref="F38:G38"/>
    <mergeCell ref="D33:E33"/>
    <mergeCell ref="G33:H33"/>
    <mergeCell ref="J33:K33"/>
    <mergeCell ref="M33:N33"/>
    <mergeCell ref="P33:Q33"/>
    <mergeCell ref="D34:E34"/>
    <mergeCell ref="G34:H34"/>
    <mergeCell ref="J34:K34"/>
    <mergeCell ref="M34:N34"/>
    <mergeCell ref="P34:Q34"/>
    <mergeCell ref="C31:C35"/>
    <mergeCell ref="B26:B36"/>
    <mergeCell ref="C26:C30"/>
    <mergeCell ref="P31:Q31"/>
    <mergeCell ref="D32:E32"/>
    <mergeCell ref="G32:H32"/>
    <mergeCell ref="J32:K32"/>
    <mergeCell ref="M32:N32"/>
    <mergeCell ref="P32:Q32"/>
    <mergeCell ref="D30:E30"/>
    <mergeCell ref="G30:H30"/>
    <mergeCell ref="J30:K30"/>
    <mergeCell ref="M30:N30"/>
    <mergeCell ref="P30:Q30"/>
    <mergeCell ref="D31:E31"/>
    <mergeCell ref="G31:H31"/>
    <mergeCell ref="J31:K31"/>
    <mergeCell ref="M31:N31"/>
    <mergeCell ref="D28:E28"/>
    <mergeCell ref="G28:H28"/>
    <mergeCell ref="J28:K28"/>
    <mergeCell ref="M28:N28"/>
    <mergeCell ref="P28:Q28"/>
    <mergeCell ref="D29:E29"/>
    <mergeCell ref="G29:H29"/>
    <mergeCell ref="J29:K29"/>
    <mergeCell ref="M29:N29"/>
    <mergeCell ref="P29:Q29"/>
    <mergeCell ref="M26:N26"/>
    <mergeCell ref="P26:Q26"/>
    <mergeCell ref="D27:E27"/>
    <mergeCell ref="G27:H27"/>
    <mergeCell ref="J27:K27"/>
    <mergeCell ref="M27:N27"/>
    <mergeCell ref="P27:Q27"/>
    <mergeCell ref="D24:E24"/>
    <mergeCell ref="G24:H24"/>
    <mergeCell ref="J24:K24"/>
    <mergeCell ref="M24:N24"/>
    <mergeCell ref="P24:Q24"/>
    <mergeCell ref="D26:E26"/>
    <mergeCell ref="G26:H26"/>
    <mergeCell ref="J26:K26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  <mergeCell ref="M18:N18"/>
    <mergeCell ref="P18:Q18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D16:E16"/>
    <mergeCell ref="G16:H16"/>
    <mergeCell ref="J16:K16"/>
    <mergeCell ref="M16:N16"/>
    <mergeCell ref="P16:Q16"/>
    <mergeCell ref="B15:B25"/>
    <mergeCell ref="C15:C19"/>
    <mergeCell ref="D15:E15"/>
    <mergeCell ref="G15:H15"/>
    <mergeCell ref="J15:K15"/>
    <mergeCell ref="M15:N15"/>
    <mergeCell ref="D17:E17"/>
    <mergeCell ref="G17:H17"/>
    <mergeCell ref="J17:K17"/>
    <mergeCell ref="M17:N17"/>
    <mergeCell ref="C20:C24"/>
    <mergeCell ref="D20:E20"/>
    <mergeCell ref="G20:H20"/>
    <mergeCell ref="J20:K20"/>
    <mergeCell ref="M20:N20"/>
    <mergeCell ref="P17:Q17"/>
    <mergeCell ref="D18:E18"/>
    <mergeCell ref="G18:H18"/>
    <mergeCell ref="J18:K18"/>
    <mergeCell ref="S13:T13"/>
    <mergeCell ref="S11:T11"/>
    <mergeCell ref="D12:E12"/>
    <mergeCell ref="G12:H12"/>
    <mergeCell ref="J12:K12"/>
    <mergeCell ref="M12:N12"/>
    <mergeCell ref="P12:Q12"/>
    <mergeCell ref="S12:T12"/>
    <mergeCell ref="P15:Q15"/>
    <mergeCell ref="P11:Q11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3:E13"/>
    <mergeCell ref="G13:H13"/>
    <mergeCell ref="J13:K13"/>
    <mergeCell ref="M13:N13"/>
    <mergeCell ref="P13:Q13"/>
    <mergeCell ref="S8:T8"/>
    <mergeCell ref="G6:H6"/>
    <mergeCell ref="J6:K6"/>
    <mergeCell ref="M6:N6"/>
    <mergeCell ref="P6:Q6"/>
    <mergeCell ref="S6:T6"/>
    <mergeCell ref="D7:E7"/>
    <mergeCell ref="G7:H7"/>
    <mergeCell ref="J7:K7"/>
    <mergeCell ref="M7:N7"/>
    <mergeCell ref="P7:Q7"/>
    <mergeCell ref="S4:T4"/>
    <mergeCell ref="D5:E5"/>
    <mergeCell ref="G5:H5"/>
    <mergeCell ref="J5:K5"/>
    <mergeCell ref="M5:N5"/>
    <mergeCell ref="P5:Q5"/>
    <mergeCell ref="S5:T5"/>
    <mergeCell ref="Q2:Q3"/>
    <mergeCell ref="R2:R3"/>
    <mergeCell ref="B4:B14"/>
    <mergeCell ref="C4:C8"/>
    <mergeCell ref="D4:E4"/>
    <mergeCell ref="G4:H4"/>
    <mergeCell ref="J4:K4"/>
    <mergeCell ref="M4:N4"/>
    <mergeCell ref="P4:Q4"/>
    <mergeCell ref="D6:E6"/>
    <mergeCell ref="K2:K3"/>
    <mergeCell ref="L2:L3"/>
    <mergeCell ref="M2:M3"/>
    <mergeCell ref="N2:N3"/>
    <mergeCell ref="O2:O3"/>
    <mergeCell ref="P2:P3"/>
    <mergeCell ref="D8:E8"/>
    <mergeCell ref="G8:H8"/>
    <mergeCell ref="J8:K8"/>
    <mergeCell ref="M8:N8"/>
    <mergeCell ref="P8:Q8"/>
    <mergeCell ref="P10:Q10"/>
    <mergeCell ref="D11:E11"/>
    <mergeCell ref="G11:H11"/>
    <mergeCell ref="J11:K11"/>
    <mergeCell ref="M11:N11"/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</mergeCells>
  <phoneticPr fontId="1"/>
  <pageMargins left="0.7" right="0.7" top="0.75" bottom="0.75" header="0.3" footer="0.3"/>
  <pageSetup paperSize="8" scale="67" orientation="landscape" horizontalDpi="1200" verticalDpi="1200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FED3-7392-46D2-9BDD-DC0A0D50433F}">
  <sheetPr codeName="Sheet20"/>
  <dimension ref="B1:T38"/>
  <sheetViews>
    <sheetView view="pageBreakPreview" zoomScaleNormal="100" zoomScaleSheetLayoutView="100" workbookViewId="0">
      <selection activeCell="G18" sqref="G18:H18"/>
    </sheetView>
  </sheetViews>
  <sheetFormatPr defaultRowHeight="18.75"/>
  <cols>
    <col min="1" max="1" width="2.5" customWidth="1"/>
    <col min="4" max="18" width="16" customWidth="1"/>
  </cols>
  <sheetData>
    <row r="1" spans="2:20" ht="24.75" thickBot="1">
      <c r="D1" s="53">
        <v>45691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20" s="5" customFormat="1">
      <c r="B2" s="201"/>
      <c r="C2" s="202"/>
      <c r="D2" s="205">
        <f>D1</f>
        <v>45691</v>
      </c>
      <c r="E2" s="195" t="s">
        <v>3</v>
      </c>
      <c r="F2" s="191" t="s">
        <v>4</v>
      </c>
      <c r="G2" s="197">
        <f>D2+1</f>
        <v>45692</v>
      </c>
      <c r="H2" s="195" t="s">
        <v>5</v>
      </c>
      <c r="I2" s="191" t="s">
        <v>4</v>
      </c>
      <c r="J2" s="197">
        <f>G2+1</f>
        <v>45693</v>
      </c>
      <c r="K2" s="195" t="s">
        <v>6</v>
      </c>
      <c r="L2" s="191" t="s">
        <v>4</v>
      </c>
      <c r="M2" s="197">
        <f>J2+1</f>
        <v>45694</v>
      </c>
      <c r="N2" s="195" t="s">
        <v>7</v>
      </c>
      <c r="O2" s="191" t="s">
        <v>4</v>
      </c>
      <c r="P2" s="197">
        <f>M2+1</f>
        <v>45695</v>
      </c>
      <c r="Q2" s="195" t="s">
        <v>8</v>
      </c>
      <c r="R2" s="191" t="s">
        <v>4</v>
      </c>
    </row>
    <row r="3" spans="2:20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20" ht="18.75" customHeight="1">
      <c r="B4" s="303" t="s">
        <v>31</v>
      </c>
      <c r="C4" s="138" t="s">
        <v>9</v>
      </c>
      <c r="D4" s="156" t="s">
        <v>67</v>
      </c>
      <c r="E4" s="153"/>
      <c r="F4" s="6">
        <v>0.5</v>
      </c>
      <c r="G4" s="156" t="s">
        <v>67</v>
      </c>
      <c r="H4" s="153"/>
      <c r="I4" s="6">
        <v>0.5</v>
      </c>
      <c r="J4" s="264" t="s">
        <v>67</v>
      </c>
      <c r="K4" s="153"/>
      <c r="L4" s="6">
        <v>0.5</v>
      </c>
      <c r="M4" s="264" t="s">
        <v>67</v>
      </c>
      <c r="N4" s="153"/>
      <c r="O4" s="6">
        <v>0.5</v>
      </c>
      <c r="P4" s="264" t="s">
        <v>67</v>
      </c>
      <c r="Q4" s="153"/>
      <c r="R4" s="6">
        <v>0.5</v>
      </c>
      <c r="S4" s="211"/>
      <c r="T4" s="211"/>
    </row>
    <row r="5" spans="2:20" ht="18.75" customHeight="1">
      <c r="B5" s="304"/>
      <c r="C5" s="139"/>
      <c r="D5" s="154" t="s">
        <v>71</v>
      </c>
      <c r="E5" s="155"/>
      <c r="F5" s="7">
        <v>0.1</v>
      </c>
      <c r="G5" s="154" t="s">
        <v>71</v>
      </c>
      <c r="H5" s="155"/>
      <c r="I5" s="7">
        <v>0.1</v>
      </c>
      <c r="J5" s="157" t="s">
        <v>71</v>
      </c>
      <c r="K5" s="155"/>
      <c r="L5" s="7">
        <v>0.1</v>
      </c>
      <c r="M5" s="157" t="s">
        <v>71</v>
      </c>
      <c r="N5" s="155"/>
      <c r="O5" s="7">
        <v>0.1</v>
      </c>
      <c r="P5" s="157" t="s">
        <v>71</v>
      </c>
      <c r="Q5" s="155"/>
      <c r="R5" s="7">
        <v>0.1</v>
      </c>
      <c r="S5" s="211"/>
      <c r="T5" s="211"/>
    </row>
    <row r="6" spans="2:20" ht="18.75" customHeight="1">
      <c r="B6" s="304"/>
      <c r="C6" s="139"/>
      <c r="D6" s="154" t="s">
        <v>525</v>
      </c>
      <c r="E6" s="155"/>
      <c r="F6" s="104">
        <v>0.5</v>
      </c>
      <c r="G6" s="253"/>
      <c r="H6" s="227"/>
      <c r="I6" s="16"/>
      <c r="J6" s="283" t="s">
        <v>598</v>
      </c>
      <c r="K6" s="245"/>
      <c r="L6" s="16">
        <v>1</v>
      </c>
      <c r="M6" s="283" t="s">
        <v>604</v>
      </c>
      <c r="N6" s="245"/>
      <c r="O6" s="16">
        <v>2.5</v>
      </c>
      <c r="P6" s="283" t="s">
        <v>604</v>
      </c>
      <c r="Q6" s="245"/>
      <c r="R6" s="16">
        <v>2.5</v>
      </c>
      <c r="S6" s="212"/>
      <c r="T6" s="212"/>
    </row>
    <row r="7" spans="2:20" ht="18.75" customHeight="1">
      <c r="B7" s="304"/>
      <c r="C7" s="139"/>
      <c r="D7" s="154" t="s">
        <v>601</v>
      </c>
      <c r="E7" s="155"/>
      <c r="F7" s="16">
        <v>0.5</v>
      </c>
      <c r="G7" s="183"/>
      <c r="H7" s="184"/>
      <c r="I7" s="58"/>
      <c r="J7" s="154" t="s">
        <v>601</v>
      </c>
      <c r="K7" s="155"/>
      <c r="L7" s="16">
        <v>0.5</v>
      </c>
      <c r="M7" s="226"/>
      <c r="N7" s="227"/>
      <c r="O7" s="16"/>
      <c r="P7" s="283" t="s">
        <v>597</v>
      </c>
      <c r="Q7" s="245"/>
      <c r="R7" s="16">
        <v>1.5</v>
      </c>
      <c r="S7" s="8"/>
      <c r="T7" s="8"/>
    </row>
    <row r="8" spans="2:20" ht="19.5" customHeight="1" thickBot="1">
      <c r="B8" s="304"/>
      <c r="C8" s="139"/>
      <c r="D8" s="154"/>
      <c r="E8" s="155"/>
      <c r="F8" s="104"/>
      <c r="G8" s="213"/>
      <c r="H8" s="306"/>
      <c r="I8" s="100"/>
      <c r="J8" s="307"/>
      <c r="K8" s="302"/>
      <c r="L8" s="101"/>
      <c r="M8" s="160"/>
      <c r="N8" s="159"/>
      <c r="O8" s="97"/>
      <c r="P8" s="161"/>
      <c r="Q8" s="159"/>
      <c r="R8" s="9"/>
      <c r="S8" s="214"/>
      <c r="T8" s="214"/>
    </row>
    <row r="9" spans="2:20" ht="18.75" customHeight="1">
      <c r="B9" s="304"/>
      <c r="C9" s="138" t="s">
        <v>20</v>
      </c>
      <c r="D9" s="156" t="s">
        <v>599</v>
      </c>
      <c r="E9" s="153"/>
      <c r="F9" s="92">
        <v>6.15</v>
      </c>
      <c r="G9" s="156" t="s">
        <v>599</v>
      </c>
      <c r="H9" s="153"/>
      <c r="I9" s="92">
        <v>6.9</v>
      </c>
      <c r="J9" s="156" t="s">
        <v>599</v>
      </c>
      <c r="K9" s="153"/>
      <c r="L9" s="92">
        <v>5.3</v>
      </c>
      <c r="M9" s="156" t="s">
        <v>603</v>
      </c>
      <c r="N9" s="153"/>
      <c r="O9" s="92">
        <v>1.55</v>
      </c>
      <c r="P9" s="156" t="s">
        <v>600</v>
      </c>
      <c r="Q9" s="153"/>
      <c r="R9" s="92">
        <v>1.65</v>
      </c>
      <c r="S9" s="11"/>
      <c r="T9" s="11"/>
    </row>
    <row r="10" spans="2:20" ht="18.75" customHeight="1">
      <c r="B10" s="304"/>
      <c r="C10" s="139"/>
      <c r="D10" s="154"/>
      <c r="E10" s="155"/>
      <c r="F10" s="104"/>
      <c r="G10" s="154"/>
      <c r="H10" s="155"/>
      <c r="I10" s="56"/>
      <c r="J10" s="253"/>
      <c r="K10" s="227"/>
      <c r="L10" s="106"/>
      <c r="M10" s="154" t="s">
        <v>602</v>
      </c>
      <c r="N10" s="155"/>
      <c r="O10" s="104">
        <v>1.5</v>
      </c>
      <c r="P10" s="154" t="s">
        <v>602</v>
      </c>
      <c r="Q10" s="155"/>
      <c r="R10" s="104">
        <v>1.5</v>
      </c>
      <c r="S10" s="11"/>
      <c r="T10" s="11"/>
    </row>
    <row r="11" spans="2:20" ht="18.75" customHeight="1">
      <c r="B11" s="304"/>
      <c r="C11" s="139"/>
      <c r="D11" s="226"/>
      <c r="E11" s="227"/>
      <c r="F11" s="16"/>
      <c r="G11" s="154"/>
      <c r="H11" s="155"/>
      <c r="I11" s="104"/>
      <c r="J11" s="253" t="s">
        <v>550</v>
      </c>
      <c r="K11" s="227"/>
      <c r="L11" s="106"/>
      <c r="M11" s="253" t="s">
        <v>550</v>
      </c>
      <c r="N11" s="227"/>
      <c r="O11" s="16"/>
      <c r="P11" s="253"/>
      <c r="Q11" s="227"/>
      <c r="R11" s="16"/>
      <c r="S11" s="215"/>
      <c r="T11" s="215"/>
    </row>
    <row r="12" spans="2:20" ht="18.75" customHeight="1">
      <c r="B12" s="304"/>
      <c r="C12" s="139"/>
      <c r="D12" s="300"/>
      <c r="E12" s="155"/>
      <c r="F12" s="7"/>
      <c r="G12" s="154"/>
      <c r="H12" s="155"/>
      <c r="I12" s="7"/>
      <c r="J12" s="283" t="s">
        <v>528</v>
      </c>
      <c r="K12" s="245"/>
      <c r="L12" s="16">
        <v>0.1</v>
      </c>
      <c r="M12" s="283" t="s">
        <v>528</v>
      </c>
      <c r="N12" s="245"/>
      <c r="O12" s="16">
        <v>0.1</v>
      </c>
      <c r="P12" s="301"/>
      <c r="Q12" s="302"/>
      <c r="R12" s="99"/>
      <c r="S12" s="214"/>
      <c r="T12" s="214"/>
    </row>
    <row r="13" spans="2:20" ht="19.5" customHeight="1" thickBot="1">
      <c r="B13" s="304"/>
      <c r="C13" s="140"/>
      <c r="D13" s="160"/>
      <c r="E13" s="159"/>
      <c r="F13" s="9"/>
      <c r="G13" s="161" t="s">
        <v>68</v>
      </c>
      <c r="H13" s="159"/>
      <c r="I13" s="9">
        <v>0.25</v>
      </c>
      <c r="J13" s="161" t="s">
        <v>68</v>
      </c>
      <c r="K13" s="159"/>
      <c r="L13" s="9">
        <v>0.25</v>
      </c>
      <c r="M13" s="160" t="s">
        <v>206</v>
      </c>
      <c r="N13" s="159"/>
      <c r="O13" s="9">
        <v>1.5</v>
      </c>
      <c r="P13" s="161"/>
      <c r="Q13" s="159"/>
      <c r="R13" s="9"/>
      <c r="S13" s="215"/>
      <c r="T13" s="215"/>
    </row>
    <row r="14" spans="2:20" ht="19.5" thickBot="1">
      <c r="B14" s="305"/>
      <c r="C14" s="18" t="s">
        <v>76</v>
      </c>
      <c r="D14" s="17"/>
      <c r="E14" s="17"/>
      <c r="F14" s="18">
        <f>SUM(F4:F13)</f>
        <v>7.75</v>
      </c>
      <c r="G14" s="17"/>
      <c r="H14" s="17"/>
      <c r="I14" s="18">
        <f>SUM(I4:I13)</f>
        <v>7.75</v>
      </c>
      <c r="J14" s="98"/>
      <c r="K14" s="17"/>
      <c r="L14" s="18">
        <f>SUM(L4:L13)</f>
        <v>7.75</v>
      </c>
      <c r="M14" s="17"/>
      <c r="N14" s="17"/>
      <c r="O14" s="18">
        <f>SUM(O4:O13)</f>
        <v>7.75</v>
      </c>
      <c r="P14" s="98"/>
      <c r="Q14" s="17"/>
      <c r="R14" s="18">
        <f>SUM(R4:R13)</f>
        <v>7.75</v>
      </c>
    </row>
    <row r="15" spans="2:20" ht="18.75" customHeight="1">
      <c r="B15" s="149" t="s">
        <v>32</v>
      </c>
      <c r="C15" s="138" t="s">
        <v>9</v>
      </c>
      <c r="D15" s="231" t="s">
        <v>551</v>
      </c>
      <c r="E15" s="232"/>
      <c r="F15" s="61">
        <v>0.5</v>
      </c>
      <c r="G15" s="231" t="s">
        <v>166</v>
      </c>
      <c r="H15" s="232"/>
      <c r="I15" s="61">
        <v>0.5</v>
      </c>
      <c r="J15" s="241" t="s">
        <v>166</v>
      </c>
      <c r="K15" s="232"/>
      <c r="L15" s="61">
        <v>0.5</v>
      </c>
      <c r="M15" s="241" t="s">
        <v>166</v>
      </c>
      <c r="N15" s="232"/>
      <c r="O15" s="61">
        <v>0.5</v>
      </c>
      <c r="P15" s="231" t="s">
        <v>166</v>
      </c>
      <c r="Q15" s="232"/>
      <c r="R15" s="61">
        <v>0.5</v>
      </c>
      <c r="S15" s="95"/>
    </row>
    <row r="16" spans="2:20">
      <c r="B16" s="150"/>
      <c r="C16" s="139"/>
      <c r="D16" s="233" t="s">
        <v>552</v>
      </c>
      <c r="E16" s="234"/>
      <c r="F16" s="62">
        <v>0.15</v>
      </c>
      <c r="G16" s="233" t="s">
        <v>546</v>
      </c>
      <c r="H16" s="234"/>
      <c r="I16" s="62">
        <v>0.15</v>
      </c>
      <c r="J16" s="183" t="s">
        <v>231</v>
      </c>
      <c r="K16" s="234"/>
      <c r="L16" s="62">
        <v>0.15</v>
      </c>
      <c r="M16" s="183" t="s">
        <v>232</v>
      </c>
      <c r="N16" s="234"/>
      <c r="O16" s="62">
        <v>0.15</v>
      </c>
      <c r="P16" s="183" t="s">
        <v>512</v>
      </c>
      <c r="Q16" s="234"/>
      <c r="R16" s="62">
        <v>0.15</v>
      </c>
      <c r="S16" s="95"/>
    </row>
    <row r="17" spans="2:19">
      <c r="B17" s="150"/>
      <c r="C17" s="139"/>
      <c r="D17" s="226" t="s">
        <v>553</v>
      </c>
      <c r="E17" s="227"/>
      <c r="F17" s="94">
        <v>1.35</v>
      </c>
      <c r="G17" s="226" t="s">
        <v>576</v>
      </c>
      <c r="H17" s="227"/>
      <c r="I17" s="94">
        <v>2.35</v>
      </c>
      <c r="J17" s="226" t="s">
        <v>553</v>
      </c>
      <c r="K17" s="227"/>
      <c r="L17" s="94">
        <v>2.35</v>
      </c>
      <c r="M17" s="226" t="s">
        <v>553</v>
      </c>
      <c r="N17" s="227"/>
      <c r="O17" s="94">
        <v>2.1</v>
      </c>
      <c r="P17" s="226" t="s">
        <v>531</v>
      </c>
      <c r="Q17" s="227"/>
      <c r="R17" s="94">
        <v>0.5</v>
      </c>
      <c r="S17" s="95"/>
    </row>
    <row r="18" spans="2:19">
      <c r="B18" s="150"/>
      <c r="C18" s="139"/>
      <c r="D18" s="226" t="s">
        <v>577</v>
      </c>
      <c r="E18" s="227"/>
      <c r="F18" s="94">
        <v>0.5</v>
      </c>
      <c r="G18" s="226"/>
      <c r="H18" s="227"/>
      <c r="I18" s="94"/>
      <c r="J18" s="226"/>
      <c r="K18" s="227"/>
      <c r="L18" s="94"/>
      <c r="M18" s="183"/>
      <c r="N18" s="184"/>
      <c r="O18" s="94"/>
      <c r="P18" s="226" t="s">
        <v>553</v>
      </c>
      <c r="Q18" s="227"/>
      <c r="R18" s="94">
        <v>0.85</v>
      </c>
      <c r="S18" s="8"/>
    </row>
    <row r="19" spans="2:19" ht="19.5" thickBot="1">
      <c r="B19" s="150"/>
      <c r="C19" s="140"/>
      <c r="D19" s="229" t="s">
        <v>578</v>
      </c>
      <c r="E19" s="230"/>
      <c r="F19" s="68">
        <v>0.5</v>
      </c>
      <c r="G19" s="229"/>
      <c r="H19" s="230"/>
      <c r="I19" s="68"/>
      <c r="J19" s="229"/>
      <c r="K19" s="230"/>
      <c r="L19" s="68"/>
      <c r="M19" s="239" t="s">
        <v>239</v>
      </c>
      <c r="N19" s="240"/>
      <c r="O19" s="93">
        <v>0.25</v>
      </c>
      <c r="P19" s="229" t="s">
        <v>555</v>
      </c>
      <c r="Q19" s="230"/>
      <c r="R19" s="68">
        <v>1</v>
      </c>
      <c r="S19" s="96"/>
    </row>
    <row r="20" spans="2:19" ht="18.75" customHeight="1">
      <c r="B20" s="150"/>
      <c r="C20" s="138" t="s">
        <v>20</v>
      </c>
      <c r="D20" s="226" t="s">
        <v>579</v>
      </c>
      <c r="E20" s="227"/>
      <c r="F20" s="94">
        <v>2.5</v>
      </c>
      <c r="G20" s="226" t="s">
        <v>580</v>
      </c>
      <c r="H20" s="227"/>
      <c r="I20" s="94">
        <v>2</v>
      </c>
      <c r="J20" s="226" t="s">
        <v>580</v>
      </c>
      <c r="K20" s="227"/>
      <c r="L20" s="94">
        <v>1.5</v>
      </c>
      <c r="M20" s="226" t="s">
        <v>580</v>
      </c>
      <c r="N20" s="227"/>
      <c r="O20" s="94">
        <v>2</v>
      </c>
      <c r="P20" s="226" t="s">
        <v>580</v>
      </c>
      <c r="Q20" s="227"/>
      <c r="R20" s="94">
        <v>2</v>
      </c>
      <c r="S20" s="11"/>
    </row>
    <row r="21" spans="2:19" ht="18.75" customHeight="1">
      <c r="B21" s="150"/>
      <c r="C21" s="139"/>
      <c r="D21" s="226" t="s">
        <v>559</v>
      </c>
      <c r="E21" s="227"/>
      <c r="F21" s="94">
        <v>1</v>
      </c>
      <c r="G21" s="226" t="s">
        <v>581</v>
      </c>
      <c r="H21" s="227"/>
      <c r="I21" s="94">
        <v>1</v>
      </c>
      <c r="J21" s="226" t="s">
        <v>582</v>
      </c>
      <c r="K21" s="227"/>
      <c r="L21" s="94">
        <v>0.5</v>
      </c>
      <c r="M21" s="226" t="s">
        <v>582</v>
      </c>
      <c r="N21" s="227"/>
      <c r="O21" s="94">
        <v>0.5</v>
      </c>
      <c r="P21" s="226" t="s">
        <v>582</v>
      </c>
      <c r="Q21" s="227"/>
      <c r="R21" s="94">
        <v>0.5</v>
      </c>
      <c r="S21" s="11"/>
    </row>
    <row r="22" spans="2:19" ht="18.75" customHeight="1">
      <c r="B22" s="150"/>
      <c r="C22" s="139"/>
      <c r="D22" s="183"/>
      <c r="E22" s="184"/>
      <c r="F22" s="94"/>
      <c r="G22" s="226"/>
      <c r="H22" s="227"/>
      <c r="I22" s="94"/>
      <c r="J22" s="183" t="s">
        <v>493</v>
      </c>
      <c r="K22" s="234"/>
      <c r="L22" s="66">
        <v>0.5</v>
      </c>
      <c r="M22" s="183"/>
      <c r="N22" s="184"/>
      <c r="O22" s="94"/>
      <c r="P22" s="183"/>
      <c r="Q22" s="184"/>
      <c r="R22" s="94"/>
      <c r="S22" s="96"/>
    </row>
    <row r="23" spans="2:19" ht="18.75" customHeight="1">
      <c r="B23" s="150"/>
      <c r="C23" s="139"/>
      <c r="D23" s="183" t="s">
        <v>583</v>
      </c>
      <c r="E23" s="184"/>
      <c r="F23" s="94">
        <v>0.5</v>
      </c>
      <c r="G23" s="183" t="s">
        <v>584</v>
      </c>
      <c r="H23" s="184"/>
      <c r="I23" s="94">
        <v>1</v>
      </c>
      <c r="J23" s="183" t="s">
        <v>584</v>
      </c>
      <c r="K23" s="184"/>
      <c r="L23" s="94">
        <v>1.5</v>
      </c>
      <c r="M23" s="183" t="s">
        <v>585</v>
      </c>
      <c r="N23" s="184"/>
      <c r="O23" s="94">
        <v>1.5</v>
      </c>
      <c r="P23" s="183" t="s">
        <v>585</v>
      </c>
      <c r="Q23" s="184"/>
      <c r="R23" s="94">
        <v>1.5</v>
      </c>
      <c r="S23" s="96"/>
    </row>
    <row r="24" spans="2:19" ht="19.5" customHeight="1" thickBot="1">
      <c r="B24" s="150"/>
      <c r="C24" s="140"/>
      <c r="D24" s="297" t="s">
        <v>561</v>
      </c>
      <c r="E24" s="228"/>
      <c r="F24" s="60">
        <v>0.75</v>
      </c>
      <c r="G24" s="297" t="s">
        <v>174</v>
      </c>
      <c r="H24" s="228"/>
      <c r="I24" s="60">
        <v>0.75</v>
      </c>
      <c r="J24" s="298" t="s">
        <v>174</v>
      </c>
      <c r="K24" s="299"/>
      <c r="L24" s="93">
        <v>0.75</v>
      </c>
      <c r="M24" s="297" t="s">
        <v>174</v>
      </c>
      <c r="N24" s="228"/>
      <c r="O24" s="60">
        <v>0.75</v>
      </c>
      <c r="P24" s="297" t="s">
        <v>174</v>
      </c>
      <c r="Q24" s="228"/>
      <c r="R24" s="60">
        <v>0.75</v>
      </c>
    </row>
    <row r="25" spans="2:19" ht="19.5" thickBot="1">
      <c r="B25" s="151"/>
      <c r="C25" s="18" t="s">
        <v>76</v>
      </c>
      <c r="D25" s="17"/>
      <c r="E25" s="17"/>
      <c r="F25" s="18">
        <f>SUM(F15:F24)</f>
        <v>7.75</v>
      </c>
      <c r="G25" s="17"/>
      <c r="H25" s="17"/>
      <c r="I25" s="18">
        <f>SUM(I15:I24)</f>
        <v>7.75</v>
      </c>
      <c r="J25" s="17"/>
      <c r="K25" s="17"/>
      <c r="L25" s="18">
        <f>SUM(L15:L24)</f>
        <v>7.75</v>
      </c>
      <c r="M25" s="17"/>
      <c r="N25" s="17"/>
      <c r="O25" s="18">
        <f>SUM(O15:O24)</f>
        <v>7.75</v>
      </c>
      <c r="P25" s="17"/>
      <c r="Q25" s="17"/>
      <c r="R25" s="18">
        <f>SUM(R15:R24)</f>
        <v>7.75</v>
      </c>
    </row>
    <row r="26" spans="2:19" ht="18.75" customHeight="1">
      <c r="B26" s="149" t="s">
        <v>65</v>
      </c>
      <c r="C26" s="138" t="s">
        <v>9</v>
      </c>
      <c r="D26" s="152" t="s">
        <v>586</v>
      </c>
      <c r="E26" s="153"/>
      <c r="F26" s="6">
        <v>1</v>
      </c>
      <c r="G26" s="216" t="s">
        <v>587</v>
      </c>
      <c r="H26" s="163"/>
      <c r="I26" s="6">
        <v>2</v>
      </c>
      <c r="J26" s="154" t="s">
        <v>474</v>
      </c>
      <c r="K26" s="155"/>
      <c r="L26" s="6">
        <v>3</v>
      </c>
      <c r="M26" s="154" t="s">
        <v>474</v>
      </c>
      <c r="N26" s="155"/>
      <c r="O26" s="6">
        <v>3</v>
      </c>
      <c r="P26" s="156" t="s">
        <v>37</v>
      </c>
      <c r="Q26" s="153"/>
      <c r="R26" s="6">
        <v>0.25</v>
      </c>
    </row>
    <row r="27" spans="2:19" ht="18.75" customHeight="1">
      <c r="B27" s="150"/>
      <c r="C27" s="139"/>
      <c r="D27" s="157" t="s">
        <v>499</v>
      </c>
      <c r="E27" s="155"/>
      <c r="F27" s="7">
        <v>1</v>
      </c>
      <c r="G27" s="154" t="s">
        <v>588</v>
      </c>
      <c r="H27" s="155"/>
      <c r="I27" s="7">
        <v>0.5</v>
      </c>
      <c r="J27" s="154"/>
      <c r="K27" s="155"/>
      <c r="L27" s="7"/>
      <c r="M27" s="154"/>
      <c r="N27" s="155"/>
      <c r="O27" s="7"/>
      <c r="P27" s="154" t="s">
        <v>474</v>
      </c>
      <c r="Q27" s="155"/>
      <c r="R27" s="7">
        <v>2.75</v>
      </c>
    </row>
    <row r="28" spans="2:19" ht="18.75" customHeight="1">
      <c r="B28" s="150"/>
      <c r="C28" s="139"/>
      <c r="D28" s="162" t="s">
        <v>589</v>
      </c>
      <c r="E28" s="163"/>
      <c r="F28" s="7">
        <v>0.5</v>
      </c>
      <c r="G28" s="154"/>
      <c r="H28" s="155"/>
      <c r="I28" s="7"/>
      <c r="J28" s="154"/>
      <c r="K28" s="155"/>
      <c r="L28" s="7"/>
      <c r="M28" s="154"/>
      <c r="N28" s="155"/>
      <c r="O28" s="7"/>
      <c r="P28" s="154"/>
      <c r="Q28" s="155"/>
      <c r="R28" s="7"/>
    </row>
    <row r="29" spans="2:19" ht="18.75" customHeight="1">
      <c r="B29" s="150"/>
      <c r="C29" s="139"/>
      <c r="D29" s="157"/>
      <c r="E29" s="155"/>
      <c r="F29" s="7"/>
      <c r="G29" s="154"/>
      <c r="H29" s="155"/>
      <c r="I29" s="12"/>
      <c r="J29" s="154"/>
      <c r="K29" s="155"/>
      <c r="L29" s="12"/>
      <c r="M29" s="154"/>
      <c r="N29" s="155"/>
      <c r="O29" s="12"/>
      <c r="P29" s="154"/>
      <c r="Q29" s="155"/>
      <c r="R29" s="12"/>
    </row>
    <row r="30" spans="2:19" ht="19.5" customHeight="1" thickBot="1">
      <c r="B30" s="150"/>
      <c r="C30" s="140"/>
      <c r="D30" s="158"/>
      <c r="E30" s="159"/>
      <c r="F30" s="9"/>
      <c r="G30" s="161"/>
      <c r="H30" s="159"/>
      <c r="I30" s="9"/>
      <c r="J30" s="161"/>
      <c r="K30" s="159"/>
      <c r="L30" s="9"/>
      <c r="M30" s="161"/>
      <c r="N30" s="159"/>
      <c r="O30" s="9"/>
      <c r="P30" s="161"/>
      <c r="Q30" s="159"/>
      <c r="R30" s="9"/>
    </row>
    <row r="31" spans="2:19" ht="18.75" customHeight="1">
      <c r="B31" s="150"/>
      <c r="C31" s="138" t="s">
        <v>20</v>
      </c>
      <c r="D31" s="310" t="s">
        <v>590</v>
      </c>
      <c r="E31" s="220"/>
      <c r="F31" s="6">
        <v>3</v>
      </c>
      <c r="G31" s="154" t="s">
        <v>591</v>
      </c>
      <c r="H31" s="155"/>
      <c r="I31" s="7">
        <v>0.5</v>
      </c>
      <c r="J31" s="154" t="s">
        <v>37</v>
      </c>
      <c r="K31" s="155"/>
      <c r="L31" s="7">
        <v>0.5</v>
      </c>
      <c r="M31" s="154" t="s">
        <v>474</v>
      </c>
      <c r="N31" s="155"/>
      <c r="O31" s="7">
        <v>4</v>
      </c>
      <c r="P31" s="154" t="s">
        <v>474</v>
      </c>
      <c r="Q31" s="155"/>
      <c r="R31" s="7">
        <v>4</v>
      </c>
    </row>
    <row r="32" spans="2:19" ht="18.75" customHeight="1">
      <c r="B32" s="150"/>
      <c r="C32" s="139"/>
      <c r="D32" s="157" t="s">
        <v>592</v>
      </c>
      <c r="E32" s="155"/>
      <c r="F32" s="7"/>
      <c r="G32" s="154" t="s">
        <v>593</v>
      </c>
      <c r="H32" s="155"/>
      <c r="I32" s="7">
        <v>1</v>
      </c>
      <c r="J32" s="154" t="s">
        <v>474</v>
      </c>
      <c r="K32" s="155"/>
      <c r="L32" s="7">
        <v>3.5</v>
      </c>
      <c r="M32" s="154"/>
      <c r="N32" s="155"/>
      <c r="O32" s="7"/>
      <c r="P32" s="154"/>
      <c r="Q32" s="155"/>
      <c r="R32" s="7"/>
    </row>
    <row r="33" spans="2:18" ht="18.75" customHeight="1">
      <c r="B33" s="150"/>
      <c r="C33" s="139"/>
      <c r="D33" s="157" t="s">
        <v>594</v>
      </c>
      <c r="E33" s="155"/>
      <c r="F33" s="7">
        <v>1.5</v>
      </c>
      <c r="G33" s="154" t="s">
        <v>595</v>
      </c>
      <c r="H33" s="155"/>
      <c r="I33" s="7">
        <v>1.5</v>
      </c>
      <c r="J33" s="154"/>
      <c r="K33" s="155"/>
      <c r="L33" s="7"/>
      <c r="M33" s="154"/>
      <c r="N33" s="155"/>
      <c r="O33" s="7"/>
      <c r="P33" s="154"/>
      <c r="Q33" s="155"/>
      <c r="R33" s="7"/>
    </row>
    <row r="34" spans="2:18" ht="18.75" customHeight="1">
      <c r="B34" s="150"/>
      <c r="C34" s="139"/>
      <c r="D34" s="157"/>
      <c r="E34" s="155"/>
      <c r="F34" s="7"/>
      <c r="G34" s="154" t="s">
        <v>596</v>
      </c>
      <c r="H34" s="155"/>
      <c r="I34" s="7">
        <v>1.5</v>
      </c>
      <c r="J34" s="154"/>
      <c r="K34" s="155"/>
      <c r="L34" s="7"/>
      <c r="M34" s="154"/>
      <c r="N34" s="155"/>
      <c r="O34" s="7"/>
      <c r="P34" s="154"/>
      <c r="Q34" s="155"/>
      <c r="R34" s="7"/>
    </row>
    <row r="35" spans="2:18" ht="19.5" customHeight="1" thickBot="1">
      <c r="B35" s="150"/>
      <c r="C35" s="140"/>
      <c r="D35" s="157"/>
      <c r="E35" s="155"/>
      <c r="F35" s="7"/>
      <c r="G35" s="161"/>
      <c r="H35" s="159"/>
      <c r="I35" s="9"/>
      <c r="J35" s="161"/>
      <c r="K35" s="159"/>
      <c r="L35" s="9"/>
      <c r="M35" s="161"/>
      <c r="N35" s="159"/>
      <c r="O35" s="9"/>
      <c r="P35" s="161"/>
      <c r="Q35" s="159"/>
      <c r="R35" s="9"/>
    </row>
    <row r="36" spans="2:18" ht="19.5" thickBot="1">
      <c r="B36" s="151"/>
      <c r="C36" s="18" t="s">
        <v>76</v>
      </c>
      <c r="D36" s="17"/>
      <c r="E36" s="17"/>
      <c r="F36" s="18">
        <f>SUM(F26:F35)</f>
        <v>7</v>
      </c>
      <c r="G36" s="17"/>
      <c r="H36" s="17"/>
      <c r="I36" s="18">
        <f>SUM(I26:I35)</f>
        <v>7</v>
      </c>
      <c r="J36" s="17"/>
      <c r="K36" s="17"/>
      <c r="L36" s="18">
        <f>SUM(L26:L35)</f>
        <v>7</v>
      </c>
      <c r="M36" s="17"/>
      <c r="N36" s="17"/>
      <c r="O36" s="18">
        <f>SUM(O26:O35)</f>
        <v>7</v>
      </c>
      <c r="P36" s="17"/>
      <c r="Q36" s="17"/>
      <c r="R36" s="18">
        <f>SUM(R26:R35)</f>
        <v>7</v>
      </c>
    </row>
    <row r="38" spans="2:18">
      <c r="B38" s="294" t="s">
        <v>182</v>
      </c>
      <c r="C38" s="295"/>
      <c r="D38" s="103" t="s">
        <v>183</v>
      </c>
      <c r="F38" s="296" t="s">
        <v>184</v>
      </c>
      <c r="G38" s="296"/>
    </row>
  </sheetData>
  <mergeCells count="186">
    <mergeCell ref="D35:E35"/>
    <mergeCell ref="G35:H35"/>
    <mergeCell ref="J35:K35"/>
    <mergeCell ref="M35:N35"/>
    <mergeCell ref="P35:Q35"/>
    <mergeCell ref="B38:C38"/>
    <mergeCell ref="F38:G38"/>
    <mergeCell ref="D33:E33"/>
    <mergeCell ref="G33:H33"/>
    <mergeCell ref="J33:K33"/>
    <mergeCell ref="M33:N33"/>
    <mergeCell ref="P33:Q33"/>
    <mergeCell ref="D34:E34"/>
    <mergeCell ref="G34:H34"/>
    <mergeCell ref="J34:K34"/>
    <mergeCell ref="M34:N34"/>
    <mergeCell ref="P34:Q34"/>
    <mergeCell ref="C31:C35"/>
    <mergeCell ref="B26:B36"/>
    <mergeCell ref="C26:C30"/>
    <mergeCell ref="P31:Q31"/>
    <mergeCell ref="D32:E32"/>
    <mergeCell ref="G32:H32"/>
    <mergeCell ref="J32:K32"/>
    <mergeCell ref="M32:N32"/>
    <mergeCell ref="P32:Q32"/>
    <mergeCell ref="D30:E30"/>
    <mergeCell ref="G30:H30"/>
    <mergeCell ref="J30:K30"/>
    <mergeCell ref="M30:N30"/>
    <mergeCell ref="P30:Q30"/>
    <mergeCell ref="D31:E31"/>
    <mergeCell ref="G31:H31"/>
    <mergeCell ref="J31:K31"/>
    <mergeCell ref="M31:N31"/>
    <mergeCell ref="D28:E28"/>
    <mergeCell ref="G28:H28"/>
    <mergeCell ref="J28:K28"/>
    <mergeCell ref="M28:N28"/>
    <mergeCell ref="P28:Q28"/>
    <mergeCell ref="D29:E29"/>
    <mergeCell ref="G29:H29"/>
    <mergeCell ref="J29:K29"/>
    <mergeCell ref="M29:N29"/>
    <mergeCell ref="P29:Q29"/>
    <mergeCell ref="M26:N26"/>
    <mergeCell ref="P26:Q26"/>
    <mergeCell ref="D27:E27"/>
    <mergeCell ref="G27:H27"/>
    <mergeCell ref="J27:K27"/>
    <mergeCell ref="M27:N27"/>
    <mergeCell ref="P27:Q27"/>
    <mergeCell ref="D24:E24"/>
    <mergeCell ref="G24:H24"/>
    <mergeCell ref="J24:K24"/>
    <mergeCell ref="M24:N24"/>
    <mergeCell ref="P24:Q24"/>
    <mergeCell ref="D26:E26"/>
    <mergeCell ref="G26:H26"/>
    <mergeCell ref="J26:K26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  <mergeCell ref="M18:N18"/>
    <mergeCell ref="P18:Q18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D16:E16"/>
    <mergeCell ref="G16:H16"/>
    <mergeCell ref="J16:K16"/>
    <mergeCell ref="M16:N16"/>
    <mergeCell ref="P16:Q16"/>
    <mergeCell ref="B15:B25"/>
    <mergeCell ref="C15:C19"/>
    <mergeCell ref="D15:E15"/>
    <mergeCell ref="G15:H15"/>
    <mergeCell ref="J15:K15"/>
    <mergeCell ref="M15:N15"/>
    <mergeCell ref="D17:E17"/>
    <mergeCell ref="G17:H17"/>
    <mergeCell ref="J17:K17"/>
    <mergeCell ref="M17:N17"/>
    <mergeCell ref="C20:C24"/>
    <mergeCell ref="D20:E20"/>
    <mergeCell ref="G20:H20"/>
    <mergeCell ref="J20:K20"/>
    <mergeCell ref="M20:N20"/>
    <mergeCell ref="P17:Q17"/>
    <mergeCell ref="D18:E18"/>
    <mergeCell ref="G18:H18"/>
    <mergeCell ref="J18:K18"/>
    <mergeCell ref="S13:T13"/>
    <mergeCell ref="S11:T11"/>
    <mergeCell ref="D12:E12"/>
    <mergeCell ref="G12:H12"/>
    <mergeCell ref="J12:K12"/>
    <mergeCell ref="M12:N12"/>
    <mergeCell ref="P12:Q12"/>
    <mergeCell ref="S12:T12"/>
    <mergeCell ref="P15:Q15"/>
    <mergeCell ref="P11:Q11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3:E13"/>
    <mergeCell ref="G13:H13"/>
    <mergeCell ref="J13:K13"/>
    <mergeCell ref="M13:N13"/>
    <mergeCell ref="P13:Q13"/>
    <mergeCell ref="S8:T8"/>
    <mergeCell ref="G6:H6"/>
    <mergeCell ref="J6:K6"/>
    <mergeCell ref="M6:N6"/>
    <mergeCell ref="P6:Q6"/>
    <mergeCell ref="S6:T6"/>
    <mergeCell ref="D7:E7"/>
    <mergeCell ref="G7:H7"/>
    <mergeCell ref="J7:K7"/>
    <mergeCell ref="M7:N7"/>
    <mergeCell ref="P7:Q7"/>
    <mergeCell ref="S4:T4"/>
    <mergeCell ref="D5:E5"/>
    <mergeCell ref="G5:H5"/>
    <mergeCell ref="J5:K5"/>
    <mergeCell ref="M5:N5"/>
    <mergeCell ref="P5:Q5"/>
    <mergeCell ref="S5:T5"/>
    <mergeCell ref="Q2:Q3"/>
    <mergeCell ref="R2:R3"/>
    <mergeCell ref="B4:B14"/>
    <mergeCell ref="C4:C8"/>
    <mergeCell ref="D4:E4"/>
    <mergeCell ref="G4:H4"/>
    <mergeCell ref="J4:K4"/>
    <mergeCell ref="M4:N4"/>
    <mergeCell ref="P4:Q4"/>
    <mergeCell ref="D6:E6"/>
    <mergeCell ref="K2:K3"/>
    <mergeCell ref="L2:L3"/>
    <mergeCell ref="M2:M3"/>
    <mergeCell ref="N2:N3"/>
    <mergeCell ref="O2:O3"/>
    <mergeCell ref="P2:P3"/>
    <mergeCell ref="D8:E8"/>
    <mergeCell ref="G8:H8"/>
    <mergeCell ref="J8:K8"/>
    <mergeCell ref="M8:N8"/>
    <mergeCell ref="P8:Q8"/>
    <mergeCell ref="P10:Q10"/>
    <mergeCell ref="D11:E11"/>
    <mergeCell ref="G11:H11"/>
    <mergeCell ref="J11:K11"/>
    <mergeCell ref="M11:N11"/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</mergeCells>
  <phoneticPr fontId="1"/>
  <pageMargins left="0.7" right="0.7" top="0.75" bottom="0.75" header="0.3" footer="0.3"/>
  <pageSetup paperSize="8" scale="67" orientation="landscape" horizontalDpi="1200" verticalDpi="1200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FD1C-CB4E-43C4-82CA-EB759FD96B0B}">
  <sheetPr codeName="Sheet21"/>
  <dimension ref="B1:T38"/>
  <sheetViews>
    <sheetView view="pageBreakPreview" zoomScale="85" zoomScaleNormal="100" zoomScaleSheetLayoutView="85" workbookViewId="0">
      <selection activeCell="D31" sqref="D31:E31"/>
    </sheetView>
  </sheetViews>
  <sheetFormatPr defaultRowHeight="18.75"/>
  <cols>
    <col min="1" max="1" width="2.5" customWidth="1"/>
    <col min="4" max="18" width="16" customWidth="1"/>
  </cols>
  <sheetData>
    <row r="1" spans="2:20" ht="24.75" thickBot="1">
      <c r="D1" s="53">
        <v>45684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20" s="5" customFormat="1">
      <c r="B2" s="201"/>
      <c r="C2" s="202"/>
      <c r="D2" s="205">
        <f>D1</f>
        <v>45684</v>
      </c>
      <c r="E2" s="195" t="s">
        <v>3</v>
      </c>
      <c r="F2" s="191" t="s">
        <v>4</v>
      </c>
      <c r="G2" s="197">
        <f>D2+1</f>
        <v>45685</v>
      </c>
      <c r="H2" s="195" t="s">
        <v>5</v>
      </c>
      <c r="I2" s="191" t="s">
        <v>4</v>
      </c>
      <c r="J2" s="197">
        <f>G2+1</f>
        <v>45686</v>
      </c>
      <c r="K2" s="195" t="s">
        <v>6</v>
      </c>
      <c r="L2" s="191" t="s">
        <v>4</v>
      </c>
      <c r="M2" s="197">
        <f>J2+1</f>
        <v>45687</v>
      </c>
      <c r="N2" s="195" t="s">
        <v>7</v>
      </c>
      <c r="O2" s="191" t="s">
        <v>4</v>
      </c>
      <c r="P2" s="197">
        <f>M2+1</f>
        <v>45688</v>
      </c>
      <c r="Q2" s="195" t="s">
        <v>8</v>
      </c>
      <c r="R2" s="191" t="s">
        <v>4</v>
      </c>
    </row>
    <row r="3" spans="2:20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20" ht="18.75" customHeight="1">
      <c r="B4" s="303" t="s">
        <v>31</v>
      </c>
      <c r="C4" s="138" t="s">
        <v>9</v>
      </c>
      <c r="D4" s="156" t="s">
        <v>67</v>
      </c>
      <c r="E4" s="153"/>
      <c r="F4" s="6">
        <v>0.5</v>
      </c>
      <c r="G4" s="156" t="s">
        <v>67</v>
      </c>
      <c r="H4" s="153"/>
      <c r="I4" s="6">
        <v>0.5</v>
      </c>
      <c r="J4" s="264" t="s">
        <v>67</v>
      </c>
      <c r="K4" s="153"/>
      <c r="L4" s="6">
        <v>0.5</v>
      </c>
      <c r="M4" s="264" t="s">
        <v>67</v>
      </c>
      <c r="N4" s="153"/>
      <c r="O4" s="6">
        <v>0.5</v>
      </c>
      <c r="P4" s="264" t="s">
        <v>67</v>
      </c>
      <c r="Q4" s="153"/>
      <c r="R4" s="6">
        <v>0.5</v>
      </c>
      <c r="S4" s="211"/>
      <c r="T4" s="211"/>
    </row>
    <row r="5" spans="2:20" ht="18.75" customHeight="1">
      <c r="B5" s="304"/>
      <c r="C5" s="139"/>
      <c r="D5" s="154" t="s">
        <v>71</v>
      </c>
      <c r="E5" s="155"/>
      <c r="F5" s="7">
        <v>0.1</v>
      </c>
      <c r="G5" s="154" t="s">
        <v>71</v>
      </c>
      <c r="H5" s="155"/>
      <c r="I5" s="7">
        <v>0.1</v>
      </c>
      <c r="J5" s="157" t="s">
        <v>71</v>
      </c>
      <c r="K5" s="155"/>
      <c r="L5" s="7">
        <v>0.1</v>
      </c>
      <c r="M5" s="157" t="s">
        <v>71</v>
      </c>
      <c r="N5" s="155"/>
      <c r="O5" s="7">
        <v>0.1</v>
      </c>
      <c r="P5" s="157" t="s">
        <v>71</v>
      </c>
      <c r="Q5" s="155"/>
      <c r="R5" s="7">
        <v>0.1</v>
      </c>
      <c r="S5" s="211"/>
      <c r="T5" s="211"/>
    </row>
    <row r="6" spans="2:20" ht="18.75" customHeight="1">
      <c r="B6" s="304"/>
      <c r="C6" s="139"/>
      <c r="D6" s="154" t="s">
        <v>525</v>
      </c>
      <c r="E6" s="155"/>
      <c r="F6" s="104">
        <v>0.5</v>
      </c>
      <c r="G6" s="253"/>
      <c r="H6" s="227"/>
      <c r="I6" s="16"/>
      <c r="J6" s="283"/>
      <c r="K6" s="245"/>
      <c r="L6" s="16"/>
      <c r="M6" s="253"/>
      <c r="N6" s="227"/>
      <c r="O6" s="16"/>
      <c r="P6" s="283" t="s">
        <v>477</v>
      </c>
      <c r="Q6" s="245"/>
      <c r="R6" s="16">
        <v>0.5</v>
      </c>
      <c r="S6" s="212"/>
      <c r="T6" s="212"/>
    </row>
    <row r="7" spans="2:20" ht="18.75" customHeight="1">
      <c r="B7" s="304"/>
      <c r="C7" s="139"/>
      <c r="D7" s="154" t="s">
        <v>573</v>
      </c>
      <c r="E7" s="155"/>
      <c r="F7" s="16">
        <v>0.5</v>
      </c>
      <c r="G7" s="183"/>
      <c r="H7" s="184"/>
      <c r="I7" s="58"/>
      <c r="J7" s="283"/>
      <c r="K7" s="245"/>
      <c r="L7" s="16"/>
      <c r="M7" s="226"/>
      <c r="N7" s="227"/>
      <c r="O7" s="16"/>
      <c r="P7" s="283"/>
      <c r="Q7" s="245"/>
      <c r="R7" s="16"/>
      <c r="S7" s="8"/>
      <c r="T7" s="8"/>
    </row>
    <row r="8" spans="2:20" ht="19.5" customHeight="1" thickBot="1">
      <c r="B8" s="304"/>
      <c r="C8" s="139"/>
      <c r="D8" s="154" t="s">
        <v>574</v>
      </c>
      <c r="E8" s="155"/>
      <c r="F8" s="104">
        <v>0.5</v>
      </c>
      <c r="G8" s="213"/>
      <c r="H8" s="306"/>
      <c r="I8" s="100"/>
      <c r="J8" s="307"/>
      <c r="K8" s="302"/>
      <c r="L8" s="101"/>
      <c r="M8" s="160"/>
      <c r="N8" s="159"/>
      <c r="O8" s="97"/>
      <c r="P8" s="161"/>
      <c r="Q8" s="159"/>
      <c r="R8" s="9"/>
      <c r="S8" s="214"/>
      <c r="T8" s="214"/>
    </row>
    <row r="9" spans="2:20" ht="18.75" customHeight="1">
      <c r="B9" s="304"/>
      <c r="C9" s="138" t="s">
        <v>20</v>
      </c>
      <c r="D9" s="156" t="s">
        <v>572</v>
      </c>
      <c r="E9" s="153"/>
      <c r="F9" s="92">
        <v>5.65</v>
      </c>
      <c r="G9" s="156" t="s">
        <v>572</v>
      </c>
      <c r="H9" s="153"/>
      <c r="I9" s="92">
        <v>6.9</v>
      </c>
      <c r="J9" s="156" t="s">
        <v>572</v>
      </c>
      <c r="K9" s="153"/>
      <c r="L9" s="92">
        <v>6.8</v>
      </c>
      <c r="M9" s="156" t="s">
        <v>575</v>
      </c>
      <c r="N9" s="153"/>
      <c r="O9" s="92">
        <v>5.55</v>
      </c>
      <c r="P9" s="156" t="s">
        <v>575</v>
      </c>
      <c r="Q9" s="153"/>
      <c r="R9" s="92">
        <v>6.65</v>
      </c>
      <c r="S9" s="11"/>
      <c r="T9" s="11"/>
    </row>
    <row r="10" spans="2:20" ht="18.75" customHeight="1">
      <c r="B10" s="304"/>
      <c r="C10" s="139"/>
      <c r="D10" s="154"/>
      <c r="E10" s="155"/>
      <c r="F10" s="104"/>
      <c r="G10" s="154"/>
      <c r="H10" s="155"/>
      <c r="I10" s="56"/>
      <c r="J10" s="253"/>
      <c r="K10" s="227"/>
      <c r="L10" s="106"/>
      <c r="M10" s="154"/>
      <c r="N10" s="155"/>
      <c r="O10" s="104"/>
      <c r="P10" s="154"/>
      <c r="Q10" s="155"/>
      <c r="R10" s="104"/>
      <c r="S10" s="11"/>
      <c r="T10" s="11"/>
    </row>
    <row r="11" spans="2:20" ht="18.75" customHeight="1">
      <c r="B11" s="304"/>
      <c r="C11" s="139"/>
      <c r="D11" s="226"/>
      <c r="E11" s="227"/>
      <c r="F11" s="16"/>
      <c r="G11" s="154"/>
      <c r="H11" s="155"/>
      <c r="I11" s="104"/>
      <c r="J11" s="253" t="s">
        <v>550</v>
      </c>
      <c r="K11" s="227"/>
      <c r="L11" s="106"/>
      <c r="M11" s="253" t="s">
        <v>550</v>
      </c>
      <c r="N11" s="227"/>
      <c r="O11" s="16"/>
      <c r="P11" s="253"/>
      <c r="Q11" s="227"/>
      <c r="R11" s="16"/>
      <c r="S11" s="215"/>
      <c r="T11" s="215"/>
    </row>
    <row r="12" spans="2:20" ht="18.75" customHeight="1">
      <c r="B12" s="304"/>
      <c r="C12" s="139"/>
      <c r="D12" s="300"/>
      <c r="E12" s="155"/>
      <c r="F12" s="7"/>
      <c r="G12" s="154"/>
      <c r="H12" s="155"/>
      <c r="I12" s="7"/>
      <c r="J12" s="283" t="s">
        <v>528</v>
      </c>
      <c r="K12" s="245"/>
      <c r="L12" s="16">
        <v>0.1</v>
      </c>
      <c r="M12" s="283" t="s">
        <v>528</v>
      </c>
      <c r="N12" s="245"/>
      <c r="O12" s="16">
        <v>0.1</v>
      </c>
      <c r="P12" s="301"/>
      <c r="Q12" s="302"/>
      <c r="R12" s="99"/>
      <c r="S12" s="214"/>
      <c r="T12" s="214"/>
    </row>
    <row r="13" spans="2:20" ht="19.5" customHeight="1" thickBot="1">
      <c r="B13" s="304"/>
      <c r="C13" s="140"/>
      <c r="D13" s="160"/>
      <c r="E13" s="159"/>
      <c r="F13" s="9"/>
      <c r="G13" s="161" t="s">
        <v>68</v>
      </c>
      <c r="H13" s="159"/>
      <c r="I13" s="9">
        <v>0.25</v>
      </c>
      <c r="J13" s="161" t="s">
        <v>68</v>
      </c>
      <c r="K13" s="159"/>
      <c r="L13" s="9">
        <v>0.25</v>
      </c>
      <c r="M13" s="160" t="s">
        <v>206</v>
      </c>
      <c r="N13" s="159"/>
      <c r="O13" s="9">
        <v>1.5</v>
      </c>
      <c r="P13" s="161"/>
      <c r="Q13" s="159"/>
      <c r="R13" s="9"/>
      <c r="S13" s="215"/>
      <c r="T13" s="215"/>
    </row>
    <row r="14" spans="2:20" ht="19.5" thickBot="1">
      <c r="B14" s="305"/>
      <c r="C14" s="18" t="s">
        <v>76</v>
      </c>
      <c r="D14" s="17"/>
      <c r="E14" s="17"/>
      <c r="F14" s="18">
        <f>SUM(F4:F13)</f>
        <v>7.75</v>
      </c>
      <c r="G14" s="17"/>
      <c r="H14" s="17"/>
      <c r="I14" s="18">
        <f>SUM(I4:I13)</f>
        <v>7.75</v>
      </c>
      <c r="J14" s="98"/>
      <c r="K14" s="17"/>
      <c r="L14" s="18">
        <f>SUM(L4:L13)</f>
        <v>7.7499999999999991</v>
      </c>
      <c r="M14" s="17"/>
      <c r="N14" s="17"/>
      <c r="O14" s="18">
        <f>SUM(O4:O13)</f>
        <v>7.7499999999999991</v>
      </c>
      <c r="P14" s="98"/>
      <c r="Q14" s="17"/>
      <c r="R14" s="18">
        <f>SUM(R4:R13)</f>
        <v>7.75</v>
      </c>
    </row>
    <row r="15" spans="2:20" ht="18.75" customHeight="1">
      <c r="B15" s="149" t="s">
        <v>32</v>
      </c>
      <c r="C15" s="138" t="s">
        <v>9</v>
      </c>
      <c r="D15" s="231" t="s">
        <v>551</v>
      </c>
      <c r="E15" s="232"/>
      <c r="F15" s="61">
        <v>0.5</v>
      </c>
      <c r="G15" s="231" t="s">
        <v>166</v>
      </c>
      <c r="H15" s="232"/>
      <c r="I15" s="61">
        <v>0.5</v>
      </c>
      <c r="J15" s="241" t="s">
        <v>166</v>
      </c>
      <c r="K15" s="232"/>
      <c r="L15" s="61">
        <v>0.5</v>
      </c>
      <c r="M15" s="241" t="s">
        <v>166</v>
      </c>
      <c r="N15" s="232"/>
      <c r="O15" s="61">
        <v>0.5</v>
      </c>
      <c r="P15" s="231" t="s">
        <v>166</v>
      </c>
      <c r="Q15" s="232"/>
      <c r="R15" s="61">
        <v>0.5</v>
      </c>
      <c r="S15" s="95"/>
    </row>
    <row r="16" spans="2:20">
      <c r="B16" s="150"/>
      <c r="C16" s="139"/>
      <c r="D16" s="233" t="s">
        <v>552</v>
      </c>
      <c r="E16" s="234"/>
      <c r="F16" s="62">
        <v>0.15</v>
      </c>
      <c r="G16" s="233" t="s">
        <v>546</v>
      </c>
      <c r="H16" s="234"/>
      <c r="I16" s="62">
        <v>0.3</v>
      </c>
      <c r="J16" s="183" t="s">
        <v>231</v>
      </c>
      <c r="K16" s="234"/>
      <c r="L16" s="62">
        <v>0.15</v>
      </c>
      <c r="M16" s="183" t="s">
        <v>232</v>
      </c>
      <c r="N16" s="234"/>
      <c r="O16" s="62">
        <v>0.15</v>
      </c>
      <c r="P16" s="183" t="s">
        <v>512</v>
      </c>
      <c r="Q16" s="234"/>
      <c r="R16" s="62">
        <v>0.15</v>
      </c>
      <c r="S16" s="95"/>
    </row>
    <row r="17" spans="2:19">
      <c r="B17" s="150"/>
      <c r="C17" s="139"/>
      <c r="D17" s="283" t="s">
        <v>553</v>
      </c>
      <c r="E17" s="245"/>
      <c r="F17" s="58">
        <v>1.35</v>
      </c>
      <c r="G17" s="283" t="s">
        <v>553</v>
      </c>
      <c r="H17" s="245"/>
      <c r="I17" s="58">
        <v>2.2000000000000002</v>
      </c>
      <c r="J17" s="283" t="s">
        <v>553</v>
      </c>
      <c r="K17" s="245"/>
      <c r="L17" s="58">
        <v>2.35</v>
      </c>
      <c r="M17" s="283" t="s">
        <v>553</v>
      </c>
      <c r="N17" s="245"/>
      <c r="O17" s="58">
        <v>2.1</v>
      </c>
      <c r="P17" s="283" t="s">
        <v>531</v>
      </c>
      <c r="Q17" s="245"/>
      <c r="R17" s="58">
        <v>0.5</v>
      </c>
      <c r="S17" s="95"/>
    </row>
    <row r="18" spans="2:19">
      <c r="B18" s="150"/>
      <c r="C18" s="139"/>
      <c r="D18" s="226" t="s">
        <v>554</v>
      </c>
      <c r="E18" s="227"/>
      <c r="F18" s="94">
        <v>1</v>
      </c>
      <c r="G18" s="226"/>
      <c r="H18" s="227"/>
      <c r="I18" s="94"/>
      <c r="J18" s="283"/>
      <c r="K18" s="245"/>
      <c r="L18" s="58"/>
      <c r="M18" s="283"/>
      <c r="N18" s="245"/>
      <c r="O18" s="58"/>
      <c r="P18" s="283" t="s">
        <v>553</v>
      </c>
      <c r="Q18" s="245"/>
      <c r="R18" s="58">
        <v>0.85</v>
      </c>
      <c r="S18" s="8"/>
    </row>
    <row r="19" spans="2:19" ht="19.5" thickBot="1">
      <c r="B19" s="150"/>
      <c r="C19" s="140"/>
      <c r="D19" s="229"/>
      <c r="E19" s="230"/>
      <c r="F19" s="68"/>
      <c r="G19" s="229"/>
      <c r="H19" s="230"/>
      <c r="I19" s="68"/>
      <c r="J19" s="290"/>
      <c r="K19" s="291"/>
      <c r="L19" s="57"/>
      <c r="M19" s="217" t="s">
        <v>239</v>
      </c>
      <c r="N19" s="292"/>
      <c r="O19" s="108">
        <v>0.25</v>
      </c>
      <c r="P19" s="290" t="s">
        <v>555</v>
      </c>
      <c r="Q19" s="291"/>
      <c r="R19" s="57">
        <v>1</v>
      </c>
      <c r="S19" s="96"/>
    </row>
    <row r="20" spans="2:19" ht="18.75" customHeight="1">
      <c r="B20" s="150"/>
      <c r="C20" s="138" t="s">
        <v>20</v>
      </c>
      <c r="D20" s="226" t="s">
        <v>556</v>
      </c>
      <c r="E20" s="227"/>
      <c r="F20" s="94">
        <v>2.5</v>
      </c>
      <c r="G20" s="226" t="s">
        <v>557</v>
      </c>
      <c r="H20" s="227"/>
      <c r="I20" s="94">
        <v>2.5</v>
      </c>
      <c r="J20" s="283" t="s">
        <v>558</v>
      </c>
      <c r="K20" s="245"/>
      <c r="L20" s="58">
        <v>3</v>
      </c>
      <c r="M20" s="283" t="s">
        <v>559</v>
      </c>
      <c r="N20" s="245"/>
      <c r="O20" s="58">
        <v>2.5</v>
      </c>
      <c r="P20" s="283" t="s">
        <v>560</v>
      </c>
      <c r="Q20" s="245"/>
      <c r="R20" s="58">
        <v>1</v>
      </c>
      <c r="S20" s="11"/>
    </row>
    <row r="21" spans="2:19" ht="18.75" customHeight="1">
      <c r="B21" s="150"/>
      <c r="C21" s="139"/>
      <c r="D21" s="226" t="s">
        <v>533</v>
      </c>
      <c r="E21" s="227"/>
      <c r="F21" s="94">
        <v>1</v>
      </c>
      <c r="G21" s="226" t="s">
        <v>533</v>
      </c>
      <c r="H21" s="227"/>
      <c r="I21" s="94">
        <v>1</v>
      </c>
      <c r="J21" s="244"/>
      <c r="K21" s="245"/>
      <c r="L21" s="58"/>
      <c r="M21" s="283" t="s">
        <v>533</v>
      </c>
      <c r="N21" s="245"/>
      <c r="O21" s="58">
        <v>1</v>
      </c>
      <c r="P21" s="283" t="s">
        <v>555</v>
      </c>
      <c r="Q21" s="245"/>
      <c r="R21" s="58">
        <v>2.5</v>
      </c>
      <c r="S21" s="11"/>
    </row>
    <row r="22" spans="2:19" ht="18.75" customHeight="1">
      <c r="B22" s="150"/>
      <c r="C22" s="139"/>
      <c r="D22" s="183"/>
      <c r="E22" s="184"/>
      <c r="F22" s="94"/>
      <c r="G22" s="226"/>
      <c r="H22" s="227"/>
      <c r="I22" s="94"/>
      <c r="J22" s="154" t="s">
        <v>493</v>
      </c>
      <c r="K22" s="163"/>
      <c r="L22" s="56">
        <v>0.5</v>
      </c>
      <c r="M22" s="154" t="s">
        <v>491</v>
      </c>
      <c r="N22" s="155"/>
      <c r="O22" s="58">
        <v>0.5</v>
      </c>
      <c r="P22" s="154" t="s">
        <v>491</v>
      </c>
      <c r="Q22" s="155"/>
      <c r="R22" s="58">
        <v>0.5</v>
      </c>
      <c r="S22" s="96"/>
    </row>
    <row r="23" spans="2:19" ht="18.75" customHeight="1">
      <c r="B23" s="150"/>
      <c r="C23" s="139"/>
      <c r="D23" s="183" t="s">
        <v>491</v>
      </c>
      <c r="E23" s="184"/>
      <c r="F23" s="94">
        <v>0.5</v>
      </c>
      <c r="G23" s="183" t="s">
        <v>491</v>
      </c>
      <c r="H23" s="184"/>
      <c r="I23" s="94">
        <v>0.5</v>
      </c>
      <c r="J23" s="183" t="s">
        <v>491</v>
      </c>
      <c r="K23" s="184"/>
      <c r="L23" s="94">
        <v>0.5</v>
      </c>
      <c r="M23" s="183"/>
      <c r="N23" s="184"/>
      <c r="O23" s="94"/>
      <c r="P23" s="183"/>
      <c r="Q23" s="184"/>
      <c r="R23" s="94"/>
      <c r="S23" s="96"/>
    </row>
    <row r="24" spans="2:19" ht="19.5" customHeight="1" thickBot="1">
      <c r="B24" s="150"/>
      <c r="C24" s="140"/>
      <c r="D24" s="297" t="s">
        <v>561</v>
      </c>
      <c r="E24" s="228"/>
      <c r="F24" s="60">
        <v>0.75</v>
      </c>
      <c r="G24" s="297" t="s">
        <v>174</v>
      </c>
      <c r="H24" s="228"/>
      <c r="I24" s="60">
        <v>0.75</v>
      </c>
      <c r="J24" s="298" t="s">
        <v>174</v>
      </c>
      <c r="K24" s="299"/>
      <c r="L24" s="93">
        <v>0.75</v>
      </c>
      <c r="M24" s="297" t="s">
        <v>174</v>
      </c>
      <c r="N24" s="228"/>
      <c r="O24" s="60">
        <v>0.75</v>
      </c>
      <c r="P24" s="297" t="s">
        <v>174</v>
      </c>
      <c r="Q24" s="228"/>
      <c r="R24" s="60">
        <v>0.75</v>
      </c>
    </row>
    <row r="25" spans="2:19" ht="19.5" thickBot="1">
      <c r="B25" s="151"/>
      <c r="C25" s="18" t="s">
        <v>76</v>
      </c>
      <c r="D25" s="17"/>
      <c r="E25" s="17"/>
      <c r="F25" s="18">
        <f>SUM(F15:F24)</f>
        <v>7.75</v>
      </c>
      <c r="G25" s="17"/>
      <c r="H25" s="17"/>
      <c r="I25" s="18">
        <f>SUM(I15:I24)</f>
        <v>7.75</v>
      </c>
      <c r="J25" s="17"/>
      <c r="K25" s="17"/>
      <c r="L25" s="18">
        <f>SUM(L15:L24)</f>
        <v>7.75</v>
      </c>
      <c r="M25" s="17"/>
      <c r="N25" s="17"/>
      <c r="O25" s="18">
        <f>SUM(O15:O24)</f>
        <v>7.75</v>
      </c>
      <c r="P25" s="17"/>
      <c r="Q25" s="17"/>
      <c r="R25" s="18">
        <f>SUM(R15:R24)</f>
        <v>7.75</v>
      </c>
    </row>
    <row r="26" spans="2:19" ht="18.75" customHeight="1">
      <c r="B26" s="149" t="s">
        <v>65</v>
      </c>
      <c r="C26" s="138" t="s">
        <v>9</v>
      </c>
      <c r="D26" s="152" t="s">
        <v>562</v>
      </c>
      <c r="E26" s="153"/>
      <c r="F26" s="6">
        <v>1.5</v>
      </c>
      <c r="G26" s="311" t="s">
        <v>563</v>
      </c>
      <c r="H26" s="222"/>
      <c r="I26" s="6">
        <v>1.5</v>
      </c>
      <c r="J26" s="154" t="s">
        <v>474</v>
      </c>
      <c r="K26" s="155"/>
      <c r="L26" s="6">
        <v>3</v>
      </c>
      <c r="M26" s="154" t="s">
        <v>474</v>
      </c>
      <c r="N26" s="155"/>
      <c r="O26" s="6">
        <v>3</v>
      </c>
      <c r="P26" s="156" t="s">
        <v>37</v>
      </c>
      <c r="Q26" s="153"/>
      <c r="R26" s="6">
        <v>0.25</v>
      </c>
    </row>
    <row r="27" spans="2:19" ht="18.75" customHeight="1">
      <c r="B27" s="150"/>
      <c r="C27" s="139"/>
      <c r="D27" s="221" t="s">
        <v>564</v>
      </c>
      <c r="E27" s="222"/>
      <c r="F27" s="7">
        <v>1.5</v>
      </c>
      <c r="G27" s="154" t="s">
        <v>565</v>
      </c>
      <c r="H27" s="155"/>
      <c r="I27" s="7">
        <v>1</v>
      </c>
      <c r="J27" s="154"/>
      <c r="K27" s="155"/>
      <c r="L27" s="7"/>
      <c r="M27" s="154"/>
      <c r="N27" s="155"/>
      <c r="O27" s="7"/>
      <c r="P27" s="154" t="s">
        <v>474</v>
      </c>
      <c r="Q27" s="155"/>
      <c r="R27" s="7">
        <v>2.75</v>
      </c>
    </row>
    <row r="28" spans="2:19" ht="18.75" customHeight="1">
      <c r="B28" s="150"/>
      <c r="C28" s="139"/>
      <c r="D28" s="221"/>
      <c r="E28" s="222"/>
      <c r="F28" s="7"/>
      <c r="G28" s="154"/>
      <c r="H28" s="155"/>
      <c r="I28" s="7"/>
      <c r="J28" s="154"/>
      <c r="K28" s="155"/>
      <c r="L28" s="7"/>
      <c r="M28" s="154"/>
      <c r="N28" s="155"/>
      <c r="O28" s="7"/>
      <c r="P28" s="154"/>
      <c r="Q28" s="155"/>
      <c r="R28" s="7"/>
    </row>
    <row r="29" spans="2:19" ht="18.75" customHeight="1">
      <c r="B29" s="150"/>
      <c r="C29" s="139"/>
      <c r="D29" s="157"/>
      <c r="E29" s="155"/>
      <c r="F29" s="7"/>
      <c r="G29" s="154"/>
      <c r="H29" s="155"/>
      <c r="I29" s="12"/>
      <c r="J29" s="154"/>
      <c r="K29" s="155"/>
      <c r="L29" s="12"/>
      <c r="M29" s="154"/>
      <c r="N29" s="155"/>
      <c r="O29" s="12"/>
      <c r="P29" s="154"/>
      <c r="Q29" s="155"/>
      <c r="R29" s="12"/>
    </row>
    <row r="30" spans="2:19" ht="19.5" customHeight="1" thickBot="1">
      <c r="B30" s="150"/>
      <c r="C30" s="140"/>
      <c r="D30" s="158"/>
      <c r="E30" s="159"/>
      <c r="F30" s="9"/>
      <c r="G30" s="161"/>
      <c r="H30" s="159"/>
      <c r="I30" s="9"/>
      <c r="J30" s="161"/>
      <c r="K30" s="159"/>
      <c r="L30" s="9"/>
      <c r="M30" s="161"/>
      <c r="N30" s="159"/>
      <c r="O30" s="9"/>
      <c r="P30" s="161"/>
      <c r="Q30" s="159"/>
      <c r="R30" s="9"/>
    </row>
    <row r="31" spans="2:19" ht="18.75" customHeight="1">
      <c r="B31" s="150"/>
      <c r="C31" s="138" t="s">
        <v>20</v>
      </c>
      <c r="D31" s="152" t="s">
        <v>566</v>
      </c>
      <c r="E31" s="153"/>
      <c r="F31" s="6">
        <v>1.5</v>
      </c>
      <c r="G31" s="311" t="s">
        <v>567</v>
      </c>
      <c r="H31" s="222"/>
      <c r="I31" s="7">
        <v>1.5</v>
      </c>
      <c r="J31" s="154" t="s">
        <v>37</v>
      </c>
      <c r="K31" s="155"/>
      <c r="L31" s="7">
        <v>0.5</v>
      </c>
      <c r="M31" s="154" t="s">
        <v>474</v>
      </c>
      <c r="N31" s="155"/>
      <c r="O31" s="7">
        <v>4</v>
      </c>
      <c r="P31" s="154" t="s">
        <v>474</v>
      </c>
      <c r="Q31" s="155"/>
      <c r="R31" s="7">
        <v>4</v>
      </c>
    </row>
    <row r="32" spans="2:19" ht="18.75" customHeight="1">
      <c r="B32" s="150"/>
      <c r="C32" s="139"/>
      <c r="D32" s="157" t="s">
        <v>568</v>
      </c>
      <c r="E32" s="155"/>
      <c r="F32" s="7">
        <v>1.5</v>
      </c>
      <c r="G32" s="311" t="s">
        <v>569</v>
      </c>
      <c r="H32" s="222"/>
      <c r="I32" s="7">
        <v>1</v>
      </c>
      <c r="J32" s="154" t="s">
        <v>474</v>
      </c>
      <c r="K32" s="155"/>
      <c r="L32" s="7">
        <v>3.5</v>
      </c>
      <c r="M32" s="154"/>
      <c r="N32" s="155"/>
      <c r="O32" s="7"/>
      <c r="P32" s="154"/>
      <c r="Q32" s="155"/>
      <c r="R32" s="7"/>
    </row>
    <row r="33" spans="2:18" ht="18.75" customHeight="1">
      <c r="B33" s="150"/>
      <c r="C33" s="139"/>
      <c r="D33" s="157" t="s">
        <v>570</v>
      </c>
      <c r="E33" s="155"/>
      <c r="F33" s="7">
        <v>1</v>
      </c>
      <c r="G33" s="154" t="s">
        <v>571</v>
      </c>
      <c r="H33" s="155"/>
      <c r="I33" s="7">
        <v>2</v>
      </c>
      <c r="J33" s="154"/>
      <c r="K33" s="155"/>
      <c r="L33" s="7"/>
      <c r="M33" s="154"/>
      <c r="N33" s="155"/>
      <c r="O33" s="7"/>
      <c r="P33" s="154"/>
      <c r="Q33" s="155"/>
      <c r="R33" s="7"/>
    </row>
    <row r="34" spans="2:18" ht="18.75" customHeight="1">
      <c r="B34" s="150"/>
      <c r="C34" s="139"/>
      <c r="D34" s="157"/>
      <c r="E34" s="155"/>
      <c r="F34" s="7"/>
      <c r="G34" s="154"/>
      <c r="H34" s="155"/>
      <c r="I34" s="7"/>
      <c r="J34" s="154"/>
      <c r="K34" s="155"/>
      <c r="L34" s="7"/>
      <c r="M34" s="154"/>
      <c r="N34" s="155"/>
      <c r="O34" s="7"/>
      <c r="P34" s="154"/>
      <c r="Q34" s="155"/>
      <c r="R34" s="7"/>
    </row>
    <row r="35" spans="2:18" ht="19.5" customHeight="1" thickBot="1">
      <c r="B35" s="150"/>
      <c r="C35" s="140"/>
      <c r="D35" s="157"/>
      <c r="E35" s="155"/>
      <c r="F35" s="7"/>
      <c r="G35" s="161"/>
      <c r="H35" s="159"/>
      <c r="I35" s="9"/>
      <c r="J35" s="161"/>
      <c r="K35" s="159"/>
      <c r="L35" s="9"/>
      <c r="M35" s="161"/>
      <c r="N35" s="159"/>
      <c r="O35" s="9"/>
      <c r="P35" s="161"/>
      <c r="Q35" s="159"/>
      <c r="R35" s="9"/>
    </row>
    <row r="36" spans="2:18" ht="19.5" thickBot="1">
      <c r="B36" s="151"/>
      <c r="C36" s="18" t="s">
        <v>76</v>
      </c>
      <c r="D36" s="17"/>
      <c r="E36" s="17"/>
      <c r="F36" s="18">
        <f>SUM(F26:F35)</f>
        <v>7</v>
      </c>
      <c r="G36" s="17"/>
      <c r="H36" s="17"/>
      <c r="I36" s="18">
        <f>SUM(I26:I35)</f>
        <v>7</v>
      </c>
      <c r="J36" s="17"/>
      <c r="K36" s="17"/>
      <c r="L36" s="18">
        <f>SUM(L26:L35)</f>
        <v>7</v>
      </c>
      <c r="M36" s="17"/>
      <c r="N36" s="17"/>
      <c r="O36" s="18">
        <f>SUM(O26:O35)</f>
        <v>7</v>
      </c>
      <c r="P36" s="17"/>
      <c r="Q36" s="17"/>
      <c r="R36" s="18">
        <f>SUM(R26:R35)</f>
        <v>7</v>
      </c>
    </row>
    <row r="38" spans="2:18">
      <c r="B38" s="294" t="s">
        <v>182</v>
      </c>
      <c r="C38" s="295"/>
      <c r="D38" s="103" t="s">
        <v>183</v>
      </c>
      <c r="F38" s="296" t="s">
        <v>184</v>
      </c>
      <c r="G38" s="296"/>
    </row>
  </sheetData>
  <mergeCells count="186">
    <mergeCell ref="D35:E35"/>
    <mergeCell ref="G35:H35"/>
    <mergeCell ref="J35:K35"/>
    <mergeCell ref="M35:N35"/>
    <mergeCell ref="P35:Q35"/>
    <mergeCell ref="B38:C38"/>
    <mergeCell ref="F38:G38"/>
    <mergeCell ref="D33:E33"/>
    <mergeCell ref="G33:H33"/>
    <mergeCell ref="J33:K33"/>
    <mergeCell ref="M33:N33"/>
    <mergeCell ref="P33:Q33"/>
    <mergeCell ref="D34:E34"/>
    <mergeCell ref="G34:H34"/>
    <mergeCell ref="J34:K34"/>
    <mergeCell ref="M34:N34"/>
    <mergeCell ref="P34:Q34"/>
    <mergeCell ref="C31:C35"/>
    <mergeCell ref="B26:B36"/>
    <mergeCell ref="C26:C30"/>
    <mergeCell ref="P31:Q31"/>
    <mergeCell ref="D32:E32"/>
    <mergeCell ref="G32:H32"/>
    <mergeCell ref="J32:K32"/>
    <mergeCell ref="M32:N32"/>
    <mergeCell ref="P32:Q32"/>
    <mergeCell ref="D30:E30"/>
    <mergeCell ref="G30:H30"/>
    <mergeCell ref="J30:K30"/>
    <mergeCell ref="M30:N30"/>
    <mergeCell ref="P30:Q30"/>
    <mergeCell ref="D31:E31"/>
    <mergeCell ref="G31:H31"/>
    <mergeCell ref="J31:K31"/>
    <mergeCell ref="M31:N31"/>
    <mergeCell ref="D28:E28"/>
    <mergeCell ref="G28:H28"/>
    <mergeCell ref="J28:K28"/>
    <mergeCell ref="M28:N28"/>
    <mergeCell ref="P28:Q28"/>
    <mergeCell ref="D29:E29"/>
    <mergeCell ref="G29:H29"/>
    <mergeCell ref="J29:K29"/>
    <mergeCell ref="M29:N29"/>
    <mergeCell ref="P29:Q29"/>
    <mergeCell ref="M26:N26"/>
    <mergeCell ref="P26:Q26"/>
    <mergeCell ref="D27:E27"/>
    <mergeCell ref="G27:H27"/>
    <mergeCell ref="J27:K27"/>
    <mergeCell ref="M27:N27"/>
    <mergeCell ref="P27:Q27"/>
    <mergeCell ref="D24:E24"/>
    <mergeCell ref="G24:H24"/>
    <mergeCell ref="J24:K24"/>
    <mergeCell ref="M24:N24"/>
    <mergeCell ref="P24:Q24"/>
    <mergeCell ref="D26:E26"/>
    <mergeCell ref="G26:H26"/>
    <mergeCell ref="J26:K26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  <mergeCell ref="M18:N18"/>
    <mergeCell ref="P18:Q18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D16:E16"/>
    <mergeCell ref="G16:H16"/>
    <mergeCell ref="J16:K16"/>
    <mergeCell ref="M16:N16"/>
    <mergeCell ref="P16:Q16"/>
    <mergeCell ref="B15:B25"/>
    <mergeCell ref="C15:C19"/>
    <mergeCell ref="D15:E15"/>
    <mergeCell ref="G15:H15"/>
    <mergeCell ref="J15:K15"/>
    <mergeCell ref="M15:N15"/>
    <mergeCell ref="D17:E17"/>
    <mergeCell ref="G17:H17"/>
    <mergeCell ref="J17:K17"/>
    <mergeCell ref="M17:N17"/>
    <mergeCell ref="C20:C24"/>
    <mergeCell ref="D20:E20"/>
    <mergeCell ref="G20:H20"/>
    <mergeCell ref="J20:K20"/>
    <mergeCell ref="M20:N20"/>
    <mergeCell ref="P17:Q17"/>
    <mergeCell ref="D18:E18"/>
    <mergeCell ref="G18:H18"/>
    <mergeCell ref="J18:K18"/>
    <mergeCell ref="S13:T13"/>
    <mergeCell ref="S11:T11"/>
    <mergeCell ref="D12:E12"/>
    <mergeCell ref="G12:H12"/>
    <mergeCell ref="J12:K12"/>
    <mergeCell ref="M12:N12"/>
    <mergeCell ref="P12:Q12"/>
    <mergeCell ref="S12:T12"/>
    <mergeCell ref="P15:Q15"/>
    <mergeCell ref="P11:Q11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3:E13"/>
    <mergeCell ref="G13:H13"/>
    <mergeCell ref="J13:K13"/>
    <mergeCell ref="M13:N13"/>
    <mergeCell ref="P13:Q13"/>
    <mergeCell ref="S8:T8"/>
    <mergeCell ref="G6:H6"/>
    <mergeCell ref="J6:K6"/>
    <mergeCell ref="M6:N6"/>
    <mergeCell ref="P6:Q6"/>
    <mergeCell ref="S6:T6"/>
    <mergeCell ref="D7:E7"/>
    <mergeCell ref="G7:H7"/>
    <mergeCell ref="J7:K7"/>
    <mergeCell ref="M7:N7"/>
    <mergeCell ref="P7:Q7"/>
    <mergeCell ref="S4:T4"/>
    <mergeCell ref="D5:E5"/>
    <mergeCell ref="G5:H5"/>
    <mergeCell ref="J5:K5"/>
    <mergeCell ref="M5:N5"/>
    <mergeCell ref="P5:Q5"/>
    <mergeCell ref="S5:T5"/>
    <mergeCell ref="Q2:Q3"/>
    <mergeCell ref="R2:R3"/>
    <mergeCell ref="B4:B14"/>
    <mergeCell ref="C4:C8"/>
    <mergeCell ref="D4:E4"/>
    <mergeCell ref="G4:H4"/>
    <mergeCell ref="J4:K4"/>
    <mergeCell ref="M4:N4"/>
    <mergeCell ref="P4:Q4"/>
    <mergeCell ref="D6:E6"/>
    <mergeCell ref="K2:K3"/>
    <mergeCell ref="L2:L3"/>
    <mergeCell ref="M2:M3"/>
    <mergeCell ref="N2:N3"/>
    <mergeCell ref="O2:O3"/>
    <mergeCell ref="P2:P3"/>
    <mergeCell ref="D8:E8"/>
    <mergeCell ref="G8:H8"/>
    <mergeCell ref="J8:K8"/>
    <mergeCell ref="M8:N8"/>
    <mergeCell ref="P8:Q8"/>
    <mergeCell ref="P10:Q10"/>
    <mergeCell ref="D11:E11"/>
    <mergeCell ref="G11:H11"/>
    <mergeCell ref="J11:K11"/>
    <mergeCell ref="M11:N11"/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</mergeCells>
  <phoneticPr fontId="1"/>
  <pageMargins left="0.7" right="0.7" top="0.75" bottom="0.75" header="0.3" footer="0.3"/>
  <pageSetup paperSize="8" scale="67" orientation="landscape" horizontalDpi="1200" verticalDpi="1200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B5378-B022-4E7B-837B-88399C709BC4}">
  <sheetPr codeName="Sheet22"/>
  <dimension ref="B1:T38"/>
  <sheetViews>
    <sheetView view="pageBreakPreview" zoomScale="85" zoomScaleNormal="100" zoomScaleSheetLayoutView="85" workbookViewId="0">
      <selection activeCell="D7" sqref="D7:F7"/>
    </sheetView>
  </sheetViews>
  <sheetFormatPr defaultRowHeight="18.75"/>
  <cols>
    <col min="1" max="1" width="2.5" customWidth="1"/>
    <col min="4" max="18" width="16" customWidth="1"/>
  </cols>
  <sheetData>
    <row r="1" spans="2:20" ht="24.75" thickBot="1">
      <c r="D1" s="53">
        <v>45677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20" s="5" customFormat="1">
      <c r="B2" s="201"/>
      <c r="C2" s="202"/>
      <c r="D2" s="205">
        <f>D1</f>
        <v>45677</v>
      </c>
      <c r="E2" s="195" t="s">
        <v>3</v>
      </c>
      <c r="F2" s="191" t="s">
        <v>4</v>
      </c>
      <c r="G2" s="197">
        <f>D2+1</f>
        <v>45678</v>
      </c>
      <c r="H2" s="195" t="s">
        <v>5</v>
      </c>
      <c r="I2" s="191" t="s">
        <v>4</v>
      </c>
      <c r="J2" s="197">
        <f>G2+1</f>
        <v>45679</v>
      </c>
      <c r="K2" s="195" t="s">
        <v>6</v>
      </c>
      <c r="L2" s="191" t="s">
        <v>4</v>
      </c>
      <c r="M2" s="197">
        <f>J2+1</f>
        <v>45680</v>
      </c>
      <c r="N2" s="195" t="s">
        <v>7</v>
      </c>
      <c r="O2" s="191" t="s">
        <v>4</v>
      </c>
      <c r="P2" s="197">
        <f>M2+1</f>
        <v>45681</v>
      </c>
      <c r="Q2" s="195" t="s">
        <v>8</v>
      </c>
      <c r="R2" s="191" t="s">
        <v>4</v>
      </c>
    </row>
    <row r="3" spans="2:20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20" ht="18.75" customHeight="1">
      <c r="B4" s="303" t="s">
        <v>31</v>
      </c>
      <c r="C4" s="138" t="s">
        <v>9</v>
      </c>
      <c r="D4" s="156" t="s">
        <v>67</v>
      </c>
      <c r="E4" s="153"/>
      <c r="F4" s="6">
        <v>0.5</v>
      </c>
      <c r="G4" s="156" t="s">
        <v>67</v>
      </c>
      <c r="H4" s="153"/>
      <c r="I4" s="6">
        <v>0.5</v>
      </c>
      <c r="J4" s="264" t="s">
        <v>67</v>
      </c>
      <c r="K4" s="153"/>
      <c r="L4" s="6">
        <v>0.5</v>
      </c>
      <c r="M4" s="264" t="s">
        <v>67</v>
      </c>
      <c r="N4" s="153"/>
      <c r="O4" s="6">
        <v>0.5</v>
      </c>
      <c r="P4" s="264" t="s">
        <v>67</v>
      </c>
      <c r="Q4" s="153"/>
      <c r="R4" s="6">
        <v>0.5</v>
      </c>
      <c r="S4" s="211"/>
      <c r="T4" s="211"/>
    </row>
    <row r="5" spans="2:20" ht="18.75" customHeight="1">
      <c r="B5" s="304"/>
      <c r="C5" s="139"/>
      <c r="D5" s="154" t="s">
        <v>71</v>
      </c>
      <c r="E5" s="155"/>
      <c r="F5" s="7">
        <v>0.1</v>
      </c>
      <c r="G5" s="154" t="s">
        <v>71</v>
      </c>
      <c r="H5" s="155"/>
      <c r="I5" s="7">
        <v>0.1</v>
      </c>
      <c r="J5" s="157" t="s">
        <v>71</v>
      </c>
      <c r="K5" s="155"/>
      <c r="L5" s="7">
        <v>0.1</v>
      </c>
      <c r="M5" s="157" t="s">
        <v>71</v>
      </c>
      <c r="N5" s="155"/>
      <c r="O5" s="7">
        <v>0.1</v>
      </c>
      <c r="P5" s="157" t="s">
        <v>71</v>
      </c>
      <c r="Q5" s="155"/>
      <c r="R5" s="7">
        <v>0.1</v>
      </c>
      <c r="S5" s="211"/>
      <c r="T5" s="211"/>
    </row>
    <row r="6" spans="2:20" ht="18.75" customHeight="1">
      <c r="B6" s="304"/>
      <c r="C6" s="139"/>
      <c r="D6" s="154" t="s">
        <v>525</v>
      </c>
      <c r="E6" s="155"/>
      <c r="F6" s="104">
        <v>0.5</v>
      </c>
      <c r="G6" s="253"/>
      <c r="H6" s="227"/>
      <c r="I6" s="16"/>
      <c r="J6" s="283"/>
      <c r="K6" s="245"/>
      <c r="L6" s="16"/>
      <c r="M6" s="253"/>
      <c r="N6" s="227"/>
      <c r="O6" s="16"/>
      <c r="P6" s="283"/>
      <c r="Q6" s="245"/>
      <c r="R6" s="16"/>
      <c r="S6" s="212"/>
      <c r="T6" s="212"/>
    </row>
    <row r="7" spans="2:20" ht="18.75" customHeight="1">
      <c r="B7" s="304"/>
      <c r="C7" s="139"/>
      <c r="D7" s="154" t="s">
        <v>548</v>
      </c>
      <c r="E7" s="155"/>
      <c r="F7" s="16">
        <v>1.5</v>
      </c>
      <c r="G7" s="183"/>
      <c r="H7" s="184"/>
      <c r="I7" s="58"/>
      <c r="J7" s="283"/>
      <c r="K7" s="245"/>
      <c r="L7" s="16"/>
      <c r="M7" s="226"/>
      <c r="N7" s="227"/>
      <c r="O7" s="16"/>
      <c r="P7" s="283" t="s">
        <v>477</v>
      </c>
      <c r="Q7" s="245"/>
      <c r="R7" s="16">
        <v>0.5</v>
      </c>
      <c r="S7" s="8"/>
      <c r="T7" s="8"/>
    </row>
    <row r="8" spans="2:20" ht="19.5" customHeight="1" thickBot="1">
      <c r="B8" s="304"/>
      <c r="C8" s="139"/>
      <c r="D8" s="154"/>
      <c r="E8" s="155"/>
      <c r="F8" s="104"/>
      <c r="G8" s="213"/>
      <c r="H8" s="306"/>
      <c r="I8" s="100"/>
      <c r="J8" s="307"/>
      <c r="K8" s="302"/>
      <c r="L8" s="101"/>
      <c r="M8" s="160"/>
      <c r="N8" s="159"/>
      <c r="O8" s="97"/>
      <c r="P8" s="161" t="s">
        <v>68</v>
      </c>
      <c r="Q8" s="159"/>
      <c r="R8" s="9">
        <v>0.25</v>
      </c>
      <c r="S8" s="214"/>
      <c r="T8" s="214"/>
    </row>
    <row r="9" spans="2:20" ht="18.75" customHeight="1">
      <c r="B9" s="304"/>
      <c r="C9" s="138" t="s">
        <v>20</v>
      </c>
      <c r="D9" s="156" t="s">
        <v>549</v>
      </c>
      <c r="E9" s="153"/>
      <c r="F9" s="92">
        <v>5.15</v>
      </c>
      <c r="G9" s="156" t="s">
        <v>549</v>
      </c>
      <c r="H9" s="153"/>
      <c r="I9" s="92">
        <v>6.9</v>
      </c>
      <c r="J9" s="156" t="s">
        <v>549</v>
      </c>
      <c r="K9" s="153"/>
      <c r="L9" s="92">
        <v>6.8</v>
      </c>
      <c r="M9" s="156" t="s">
        <v>549</v>
      </c>
      <c r="N9" s="153"/>
      <c r="O9" s="92">
        <v>6.8</v>
      </c>
      <c r="P9" s="156"/>
      <c r="Q9" s="153"/>
      <c r="R9" s="107"/>
      <c r="S9" s="11"/>
      <c r="T9" s="11"/>
    </row>
    <row r="10" spans="2:20" ht="18.75" customHeight="1">
      <c r="B10" s="304"/>
      <c r="C10" s="139"/>
      <c r="D10" s="154"/>
      <c r="E10" s="155"/>
      <c r="F10" s="104"/>
      <c r="G10" s="154"/>
      <c r="H10" s="155"/>
      <c r="I10" s="56"/>
      <c r="J10" s="253"/>
      <c r="K10" s="227"/>
      <c r="L10" s="106"/>
      <c r="M10" s="154"/>
      <c r="N10" s="155"/>
      <c r="O10" s="104"/>
      <c r="P10" s="154"/>
      <c r="Q10" s="155"/>
      <c r="R10" s="104"/>
      <c r="S10" s="11"/>
      <c r="T10" s="11"/>
    </row>
    <row r="11" spans="2:20" ht="18.75" customHeight="1">
      <c r="B11" s="304"/>
      <c r="C11" s="139"/>
      <c r="D11" s="226"/>
      <c r="E11" s="227"/>
      <c r="F11" s="16"/>
      <c r="G11" s="154"/>
      <c r="H11" s="155"/>
      <c r="I11" s="104"/>
      <c r="J11" s="253" t="s">
        <v>550</v>
      </c>
      <c r="K11" s="227"/>
      <c r="L11" s="106"/>
      <c r="M11" s="253" t="s">
        <v>550</v>
      </c>
      <c r="N11" s="227"/>
      <c r="O11" s="16"/>
      <c r="P11" s="253"/>
      <c r="Q11" s="227"/>
      <c r="R11" s="16"/>
      <c r="S11" s="215"/>
      <c r="T11" s="215"/>
    </row>
    <row r="12" spans="2:20" ht="18.75" customHeight="1">
      <c r="B12" s="304"/>
      <c r="C12" s="139"/>
      <c r="D12" s="300"/>
      <c r="E12" s="155"/>
      <c r="F12" s="7"/>
      <c r="G12" s="154"/>
      <c r="H12" s="155"/>
      <c r="I12" s="7"/>
      <c r="J12" s="283" t="s">
        <v>528</v>
      </c>
      <c r="K12" s="245"/>
      <c r="L12" s="16">
        <v>0.1</v>
      </c>
      <c r="M12" s="283" t="s">
        <v>528</v>
      </c>
      <c r="N12" s="245"/>
      <c r="O12" s="16">
        <v>0.1</v>
      </c>
      <c r="P12" s="301"/>
      <c r="Q12" s="302"/>
      <c r="R12" s="99"/>
      <c r="S12" s="214"/>
      <c r="T12" s="214"/>
    </row>
    <row r="13" spans="2:20" ht="19.5" customHeight="1" thickBot="1">
      <c r="B13" s="304"/>
      <c r="C13" s="140"/>
      <c r="D13" s="160"/>
      <c r="E13" s="159"/>
      <c r="F13" s="9"/>
      <c r="G13" s="161" t="s">
        <v>68</v>
      </c>
      <c r="H13" s="159"/>
      <c r="I13" s="9">
        <v>0.25</v>
      </c>
      <c r="J13" s="161" t="s">
        <v>68</v>
      </c>
      <c r="K13" s="159"/>
      <c r="L13" s="9">
        <v>0.25</v>
      </c>
      <c r="M13" s="160" t="s">
        <v>206</v>
      </c>
      <c r="N13" s="159"/>
      <c r="O13" s="9">
        <v>1.5</v>
      </c>
      <c r="P13" s="161"/>
      <c r="Q13" s="159"/>
      <c r="R13" s="9"/>
      <c r="S13" s="215"/>
      <c r="T13" s="215"/>
    </row>
    <row r="14" spans="2:20" ht="19.5" thickBot="1">
      <c r="B14" s="305"/>
      <c r="C14" s="18" t="s">
        <v>76</v>
      </c>
      <c r="D14" s="17"/>
      <c r="E14" s="17"/>
      <c r="F14" s="18">
        <f>SUM(F4:F13)</f>
        <v>7.75</v>
      </c>
      <c r="G14" s="17"/>
      <c r="H14" s="17"/>
      <c r="I14" s="18">
        <f>SUM(I4:I13)</f>
        <v>7.75</v>
      </c>
      <c r="J14" s="98"/>
      <c r="K14" s="17"/>
      <c r="L14" s="18">
        <f>SUM(L4:L13)</f>
        <v>7.7499999999999991</v>
      </c>
      <c r="M14" s="17"/>
      <c r="N14" s="17"/>
      <c r="O14" s="18">
        <f>SUM(O4:O13)</f>
        <v>9</v>
      </c>
      <c r="P14" s="98"/>
      <c r="Q14" s="17"/>
      <c r="R14" s="18">
        <f>SUM(R4:R13)</f>
        <v>1.35</v>
      </c>
    </row>
    <row r="15" spans="2:20" ht="18.75" customHeight="1">
      <c r="B15" s="149" t="s">
        <v>32</v>
      </c>
      <c r="C15" s="138" t="s">
        <v>9</v>
      </c>
      <c r="D15" s="258" t="s">
        <v>166</v>
      </c>
      <c r="E15" s="232"/>
      <c r="F15" s="61">
        <v>0.5</v>
      </c>
      <c r="G15" s="231" t="s">
        <v>166</v>
      </c>
      <c r="H15" s="232"/>
      <c r="I15" s="61">
        <v>0.5</v>
      </c>
      <c r="J15" s="241" t="s">
        <v>166</v>
      </c>
      <c r="K15" s="232"/>
      <c r="L15" s="61">
        <v>0.5</v>
      </c>
      <c r="M15" s="241" t="s">
        <v>166</v>
      </c>
      <c r="N15" s="232"/>
      <c r="O15" s="61">
        <v>0.5</v>
      </c>
      <c r="P15" s="231" t="s">
        <v>166</v>
      </c>
      <c r="Q15" s="232"/>
      <c r="R15" s="61">
        <v>0.5</v>
      </c>
      <c r="S15" s="95"/>
    </row>
    <row r="16" spans="2:20">
      <c r="B16" s="150"/>
      <c r="C16" s="139"/>
      <c r="D16" s="233" t="s">
        <v>229</v>
      </c>
      <c r="E16" s="234"/>
      <c r="F16" s="62">
        <v>0.15</v>
      </c>
      <c r="G16" s="233" t="s">
        <v>546</v>
      </c>
      <c r="H16" s="234"/>
      <c r="I16" s="62">
        <v>0.15</v>
      </c>
      <c r="J16" s="183" t="s">
        <v>231</v>
      </c>
      <c r="K16" s="234"/>
      <c r="L16" s="62">
        <v>0.15</v>
      </c>
      <c r="M16" s="183" t="s">
        <v>232</v>
      </c>
      <c r="N16" s="234"/>
      <c r="O16" s="62">
        <v>0.15</v>
      </c>
      <c r="P16" s="183" t="s">
        <v>512</v>
      </c>
      <c r="Q16" s="234"/>
      <c r="R16" s="62">
        <v>0.15</v>
      </c>
      <c r="S16" s="95"/>
    </row>
    <row r="17" spans="2:19">
      <c r="B17" s="150"/>
      <c r="C17" s="139"/>
      <c r="D17" s="226" t="s">
        <v>529</v>
      </c>
      <c r="E17" s="227"/>
      <c r="F17" s="94">
        <v>2.35</v>
      </c>
      <c r="G17" s="226" t="s">
        <v>530</v>
      </c>
      <c r="H17" s="227"/>
      <c r="I17" s="94">
        <v>2.35</v>
      </c>
      <c r="J17" s="226" t="s">
        <v>530</v>
      </c>
      <c r="K17" s="227"/>
      <c r="L17" s="94">
        <v>2.35</v>
      </c>
      <c r="M17" s="226" t="s">
        <v>530</v>
      </c>
      <c r="N17" s="227"/>
      <c r="O17" s="94">
        <v>2.1</v>
      </c>
      <c r="P17" s="226" t="s">
        <v>531</v>
      </c>
      <c r="Q17" s="227"/>
      <c r="R17" s="94">
        <v>0.5</v>
      </c>
      <c r="S17" s="95"/>
    </row>
    <row r="18" spans="2:19">
      <c r="B18" s="150"/>
      <c r="C18" s="139"/>
      <c r="D18" s="226"/>
      <c r="E18" s="227"/>
      <c r="F18" s="94"/>
      <c r="G18" s="226"/>
      <c r="H18" s="227"/>
      <c r="I18" s="94"/>
      <c r="J18" s="226"/>
      <c r="K18" s="227"/>
      <c r="L18" s="94"/>
      <c r="M18" s="226"/>
      <c r="N18" s="227"/>
      <c r="O18" s="94"/>
      <c r="P18" s="226" t="s">
        <v>530</v>
      </c>
      <c r="Q18" s="227"/>
      <c r="R18" s="94">
        <v>1.85</v>
      </c>
      <c r="S18" s="8"/>
    </row>
    <row r="19" spans="2:19" ht="19.5" thickBot="1">
      <c r="B19" s="150"/>
      <c r="C19" s="140"/>
      <c r="D19" s="229"/>
      <c r="E19" s="230"/>
      <c r="F19" s="68"/>
      <c r="G19" s="229"/>
      <c r="H19" s="230"/>
      <c r="I19" s="68"/>
      <c r="J19" s="229"/>
      <c r="K19" s="230"/>
      <c r="L19" s="68"/>
      <c r="M19" s="239" t="s">
        <v>239</v>
      </c>
      <c r="N19" s="240"/>
      <c r="O19" s="93">
        <v>0.25</v>
      </c>
      <c r="P19" s="312"/>
      <c r="Q19" s="281"/>
      <c r="R19" s="68"/>
      <c r="S19" s="96"/>
    </row>
    <row r="20" spans="2:19" ht="18.75" customHeight="1">
      <c r="B20" s="150"/>
      <c r="C20" s="138" t="s">
        <v>20</v>
      </c>
      <c r="D20" s="226" t="s">
        <v>545</v>
      </c>
      <c r="E20" s="227"/>
      <c r="F20" s="94">
        <v>1.5</v>
      </c>
      <c r="G20" s="226" t="s">
        <v>532</v>
      </c>
      <c r="H20" s="227"/>
      <c r="I20" s="94">
        <v>2</v>
      </c>
      <c r="J20" s="226" t="s">
        <v>533</v>
      </c>
      <c r="K20" s="227"/>
      <c r="L20" s="94">
        <v>2</v>
      </c>
      <c r="M20" s="226" t="s">
        <v>533</v>
      </c>
      <c r="N20" s="227"/>
      <c r="O20" s="94">
        <v>1.5</v>
      </c>
      <c r="P20" s="226" t="s">
        <v>533</v>
      </c>
      <c r="Q20" s="227"/>
      <c r="R20" s="94">
        <v>2</v>
      </c>
      <c r="S20" s="11"/>
    </row>
    <row r="21" spans="2:19" ht="18.75" customHeight="1">
      <c r="B21" s="150"/>
      <c r="C21" s="139"/>
      <c r="D21" s="226" t="s">
        <v>534</v>
      </c>
      <c r="E21" s="227"/>
      <c r="F21" s="94">
        <v>1.5</v>
      </c>
      <c r="G21" s="226" t="s">
        <v>535</v>
      </c>
      <c r="H21" s="227"/>
      <c r="I21" s="94">
        <v>1.5</v>
      </c>
      <c r="J21" s="226" t="s">
        <v>536</v>
      </c>
      <c r="K21" s="227"/>
      <c r="L21" s="94">
        <v>1</v>
      </c>
      <c r="M21" s="226" t="s">
        <v>537</v>
      </c>
      <c r="N21" s="227"/>
      <c r="O21" s="94">
        <v>2</v>
      </c>
      <c r="P21" s="226" t="s">
        <v>538</v>
      </c>
      <c r="Q21" s="227"/>
      <c r="R21" s="94">
        <v>1.5</v>
      </c>
      <c r="S21" s="11"/>
    </row>
    <row r="22" spans="2:19" ht="18.75" customHeight="1">
      <c r="B22" s="150"/>
      <c r="C22" s="139"/>
      <c r="D22" s="183" t="s">
        <v>491</v>
      </c>
      <c r="E22" s="184"/>
      <c r="F22" s="94">
        <v>0.5</v>
      </c>
      <c r="G22" s="183" t="s">
        <v>491</v>
      </c>
      <c r="H22" s="184"/>
      <c r="I22" s="94">
        <v>0.5</v>
      </c>
      <c r="J22" s="183" t="s">
        <v>493</v>
      </c>
      <c r="K22" s="234"/>
      <c r="L22" s="66">
        <v>0.5</v>
      </c>
      <c r="M22" s="183" t="s">
        <v>491</v>
      </c>
      <c r="N22" s="184"/>
      <c r="O22" s="94">
        <v>0.5</v>
      </c>
      <c r="P22" s="183" t="s">
        <v>491</v>
      </c>
      <c r="Q22" s="184"/>
      <c r="R22" s="94">
        <v>0.5</v>
      </c>
      <c r="S22" s="96"/>
    </row>
    <row r="23" spans="2:19" ht="18.75" customHeight="1">
      <c r="B23" s="150"/>
      <c r="C23" s="139"/>
      <c r="D23" s="183" t="s">
        <v>547</v>
      </c>
      <c r="E23" s="184"/>
      <c r="F23" s="94">
        <v>0.5</v>
      </c>
      <c r="G23" s="183"/>
      <c r="H23" s="184"/>
      <c r="I23" s="94"/>
      <c r="J23" s="183" t="s">
        <v>491</v>
      </c>
      <c r="K23" s="184"/>
      <c r="L23" s="94">
        <v>0.5</v>
      </c>
      <c r="M23" s="183"/>
      <c r="N23" s="184"/>
      <c r="O23" s="94"/>
      <c r="P23" s="183"/>
      <c r="Q23" s="184"/>
      <c r="R23" s="94"/>
      <c r="S23" s="96"/>
    </row>
    <row r="24" spans="2:19" ht="19.5" customHeight="1" thickBot="1">
      <c r="B24" s="150"/>
      <c r="C24" s="140"/>
      <c r="D24" s="297" t="s">
        <v>174</v>
      </c>
      <c r="E24" s="228"/>
      <c r="F24" s="60">
        <v>0.75</v>
      </c>
      <c r="G24" s="297" t="s">
        <v>174</v>
      </c>
      <c r="H24" s="228"/>
      <c r="I24" s="60">
        <v>0.75</v>
      </c>
      <c r="J24" s="298" t="s">
        <v>174</v>
      </c>
      <c r="K24" s="299"/>
      <c r="L24" s="93">
        <v>0.75</v>
      </c>
      <c r="M24" s="297" t="s">
        <v>174</v>
      </c>
      <c r="N24" s="228"/>
      <c r="O24" s="60">
        <v>0.75</v>
      </c>
      <c r="P24" s="297" t="s">
        <v>174</v>
      </c>
      <c r="Q24" s="228"/>
      <c r="R24" s="60">
        <v>0.75</v>
      </c>
    </row>
    <row r="25" spans="2:19" ht="19.5" thickBot="1">
      <c r="B25" s="151"/>
      <c r="C25" s="18" t="s">
        <v>76</v>
      </c>
      <c r="D25" s="17"/>
      <c r="E25" s="17"/>
      <c r="F25" s="18">
        <f>SUM(F15:F24)</f>
        <v>7.75</v>
      </c>
      <c r="G25" s="17"/>
      <c r="H25" s="17"/>
      <c r="I25" s="18">
        <f>SUM(I15:I24)</f>
        <v>7.75</v>
      </c>
      <c r="J25" s="17"/>
      <c r="K25" s="17"/>
      <c r="L25" s="18">
        <f>SUM(L15:L24)</f>
        <v>7.75</v>
      </c>
      <c r="M25" s="17"/>
      <c r="N25" s="17"/>
      <c r="O25" s="18">
        <f>SUM(O15:O24)</f>
        <v>7.75</v>
      </c>
      <c r="P25" s="17"/>
      <c r="Q25" s="17"/>
      <c r="R25" s="18">
        <f>SUM(R15:R24)</f>
        <v>7.75</v>
      </c>
    </row>
    <row r="26" spans="2:19" ht="18.75" customHeight="1">
      <c r="B26" s="149" t="s">
        <v>65</v>
      </c>
      <c r="C26" s="138" t="s">
        <v>9</v>
      </c>
      <c r="D26" s="152" t="s">
        <v>471</v>
      </c>
      <c r="E26" s="153"/>
      <c r="F26" s="6" t="s">
        <v>36</v>
      </c>
      <c r="G26" s="311" t="s">
        <v>524</v>
      </c>
      <c r="H26" s="222"/>
      <c r="I26" s="6">
        <v>3</v>
      </c>
      <c r="J26" s="154" t="s">
        <v>474</v>
      </c>
      <c r="K26" s="155"/>
      <c r="L26" s="6">
        <v>3</v>
      </c>
      <c r="M26" s="154" t="s">
        <v>474</v>
      </c>
      <c r="N26" s="155"/>
      <c r="O26" s="6">
        <v>3</v>
      </c>
      <c r="P26" s="156" t="s">
        <v>37</v>
      </c>
      <c r="Q26" s="153"/>
      <c r="R26" s="6">
        <v>0.25</v>
      </c>
    </row>
    <row r="27" spans="2:19" ht="18.75" customHeight="1">
      <c r="B27" s="150"/>
      <c r="C27" s="139"/>
      <c r="D27" s="157" t="s">
        <v>539</v>
      </c>
      <c r="E27" s="155"/>
      <c r="F27" s="7">
        <v>1</v>
      </c>
      <c r="G27" s="154"/>
      <c r="H27" s="155"/>
      <c r="I27" s="7"/>
      <c r="J27" s="154"/>
      <c r="K27" s="155"/>
      <c r="L27" s="7"/>
      <c r="M27" s="154"/>
      <c r="N27" s="155"/>
      <c r="O27" s="7"/>
      <c r="P27" s="154" t="s">
        <v>474</v>
      </c>
      <c r="Q27" s="155"/>
      <c r="R27" s="7">
        <v>2.75</v>
      </c>
    </row>
    <row r="28" spans="2:19" ht="18.75" customHeight="1">
      <c r="B28" s="150"/>
      <c r="C28" s="139"/>
      <c r="D28" s="157" t="s">
        <v>540</v>
      </c>
      <c r="E28" s="155"/>
      <c r="F28" s="7">
        <v>1</v>
      </c>
      <c r="G28" s="154"/>
      <c r="H28" s="155"/>
      <c r="I28" s="7"/>
      <c r="J28" s="154"/>
      <c r="K28" s="155"/>
      <c r="L28" s="7"/>
      <c r="M28" s="154"/>
      <c r="N28" s="155"/>
      <c r="O28" s="7"/>
      <c r="P28" s="154"/>
      <c r="Q28" s="155"/>
      <c r="R28" s="7"/>
    </row>
    <row r="29" spans="2:19" ht="18.75" customHeight="1">
      <c r="B29" s="150"/>
      <c r="C29" s="139"/>
      <c r="D29" s="157" t="s">
        <v>541</v>
      </c>
      <c r="E29" s="155"/>
      <c r="F29" s="7">
        <v>0.5</v>
      </c>
      <c r="G29" s="154"/>
      <c r="H29" s="155"/>
      <c r="I29" s="12"/>
      <c r="J29" s="154"/>
      <c r="K29" s="155"/>
      <c r="L29" s="12"/>
      <c r="M29" s="154"/>
      <c r="N29" s="155"/>
      <c r="O29" s="12"/>
      <c r="P29" s="154"/>
      <c r="Q29" s="155"/>
      <c r="R29" s="12"/>
    </row>
    <row r="30" spans="2:19" ht="19.5" customHeight="1" thickBot="1">
      <c r="B30" s="150"/>
      <c r="C30" s="140"/>
      <c r="D30" s="158"/>
      <c r="E30" s="159"/>
      <c r="F30" s="9"/>
      <c r="G30" s="161"/>
      <c r="H30" s="159"/>
      <c r="I30" s="9"/>
      <c r="J30" s="161"/>
      <c r="K30" s="159"/>
      <c r="L30" s="9"/>
      <c r="M30" s="161"/>
      <c r="N30" s="159"/>
      <c r="O30" s="9"/>
      <c r="P30" s="161"/>
      <c r="Q30" s="159"/>
      <c r="R30" s="9"/>
    </row>
    <row r="31" spans="2:19" ht="18.75" customHeight="1">
      <c r="B31" s="150"/>
      <c r="C31" s="138" t="s">
        <v>20</v>
      </c>
      <c r="D31" s="152" t="s">
        <v>524</v>
      </c>
      <c r="E31" s="153"/>
      <c r="F31" s="6">
        <v>1</v>
      </c>
      <c r="G31" s="154" t="s">
        <v>499</v>
      </c>
      <c r="H31" s="155"/>
      <c r="I31" s="7">
        <v>1</v>
      </c>
      <c r="J31" s="154" t="s">
        <v>37</v>
      </c>
      <c r="K31" s="155"/>
      <c r="L31" s="7">
        <v>0.5</v>
      </c>
      <c r="M31" s="154" t="s">
        <v>474</v>
      </c>
      <c r="N31" s="155"/>
      <c r="O31" s="7">
        <v>4</v>
      </c>
      <c r="P31" s="154" t="s">
        <v>474</v>
      </c>
      <c r="Q31" s="155"/>
      <c r="R31" s="7">
        <v>4</v>
      </c>
    </row>
    <row r="32" spans="2:19" ht="18.75" customHeight="1">
      <c r="B32" s="150"/>
      <c r="C32" s="139"/>
      <c r="D32" s="157" t="s">
        <v>542</v>
      </c>
      <c r="E32" s="155"/>
      <c r="F32" s="7"/>
      <c r="G32" s="154" t="s">
        <v>543</v>
      </c>
      <c r="H32" s="155"/>
      <c r="I32" s="7">
        <v>3</v>
      </c>
      <c r="J32" s="154" t="s">
        <v>474</v>
      </c>
      <c r="K32" s="155"/>
      <c r="L32" s="7">
        <v>3.5</v>
      </c>
      <c r="M32" s="154"/>
      <c r="N32" s="155"/>
      <c r="O32" s="7"/>
      <c r="P32" s="154"/>
      <c r="Q32" s="155"/>
      <c r="R32" s="7"/>
    </row>
    <row r="33" spans="2:18" ht="18.75" customHeight="1">
      <c r="B33" s="150"/>
      <c r="C33" s="139"/>
      <c r="D33" s="157" t="s">
        <v>496</v>
      </c>
      <c r="E33" s="155"/>
      <c r="F33" s="7">
        <v>2</v>
      </c>
      <c r="G33" s="154"/>
      <c r="H33" s="155"/>
      <c r="I33" s="7"/>
      <c r="J33" s="154"/>
      <c r="K33" s="155"/>
      <c r="L33" s="7"/>
      <c r="M33" s="154"/>
      <c r="N33" s="155"/>
      <c r="O33" s="7"/>
      <c r="P33" s="154"/>
      <c r="Q33" s="155"/>
      <c r="R33" s="7"/>
    </row>
    <row r="34" spans="2:18" ht="18.75" customHeight="1">
      <c r="B34" s="150"/>
      <c r="C34" s="139"/>
      <c r="D34" s="157" t="s">
        <v>544</v>
      </c>
      <c r="E34" s="155"/>
      <c r="F34" s="7">
        <v>1.5</v>
      </c>
      <c r="G34" s="154"/>
      <c r="H34" s="155"/>
      <c r="I34" s="7"/>
      <c r="J34" s="154"/>
      <c r="K34" s="155"/>
      <c r="L34" s="7"/>
      <c r="M34" s="154"/>
      <c r="N34" s="155"/>
      <c r="O34" s="7"/>
      <c r="P34" s="154"/>
      <c r="Q34" s="155"/>
      <c r="R34" s="7"/>
    </row>
    <row r="35" spans="2:18" ht="19.5" customHeight="1" thickBot="1">
      <c r="B35" s="150"/>
      <c r="C35" s="140"/>
      <c r="D35" s="157"/>
      <c r="E35" s="155"/>
      <c r="F35" s="7"/>
      <c r="G35" s="161"/>
      <c r="H35" s="159"/>
      <c r="I35" s="9"/>
      <c r="J35" s="161"/>
      <c r="K35" s="159"/>
      <c r="L35" s="9"/>
      <c r="M35" s="161"/>
      <c r="N35" s="159"/>
      <c r="O35" s="9"/>
      <c r="P35" s="161"/>
      <c r="Q35" s="159"/>
      <c r="R35" s="9"/>
    </row>
    <row r="36" spans="2:18" ht="19.5" thickBot="1">
      <c r="B36" s="151"/>
      <c r="C36" s="18" t="s">
        <v>76</v>
      </c>
      <c r="D36" s="17"/>
      <c r="E36" s="17"/>
      <c r="F36" s="18">
        <f>SUM(F26:F35)</f>
        <v>7</v>
      </c>
      <c r="G36" s="17"/>
      <c r="H36" s="17"/>
      <c r="I36" s="18">
        <f>SUM(I26:I35)</f>
        <v>7</v>
      </c>
      <c r="J36" s="17"/>
      <c r="K36" s="17"/>
      <c r="L36" s="18">
        <f>SUM(L26:L35)</f>
        <v>7</v>
      </c>
      <c r="M36" s="17"/>
      <c r="N36" s="17"/>
      <c r="O36" s="18">
        <f>SUM(O26:O35)</f>
        <v>7</v>
      </c>
      <c r="P36" s="17"/>
      <c r="Q36" s="17"/>
      <c r="R36" s="18">
        <f>SUM(R26:R35)</f>
        <v>7</v>
      </c>
    </row>
    <row r="38" spans="2:18">
      <c r="B38" s="294" t="s">
        <v>182</v>
      </c>
      <c r="C38" s="295"/>
      <c r="D38" s="103" t="s">
        <v>183</v>
      </c>
      <c r="F38" s="296" t="s">
        <v>184</v>
      </c>
      <c r="G38" s="296"/>
    </row>
  </sheetData>
  <mergeCells count="186">
    <mergeCell ref="D35:E35"/>
    <mergeCell ref="G35:H35"/>
    <mergeCell ref="J35:K35"/>
    <mergeCell ref="M35:N35"/>
    <mergeCell ref="P35:Q35"/>
    <mergeCell ref="B38:C38"/>
    <mergeCell ref="F38:G38"/>
    <mergeCell ref="D33:E33"/>
    <mergeCell ref="G33:H33"/>
    <mergeCell ref="J33:K33"/>
    <mergeCell ref="M33:N33"/>
    <mergeCell ref="P33:Q33"/>
    <mergeCell ref="D34:E34"/>
    <mergeCell ref="G34:H34"/>
    <mergeCell ref="J34:K34"/>
    <mergeCell ref="M34:N34"/>
    <mergeCell ref="P34:Q34"/>
    <mergeCell ref="C31:C35"/>
    <mergeCell ref="B26:B36"/>
    <mergeCell ref="C26:C30"/>
    <mergeCell ref="P31:Q31"/>
    <mergeCell ref="D32:E32"/>
    <mergeCell ref="G32:H32"/>
    <mergeCell ref="J32:K32"/>
    <mergeCell ref="M32:N32"/>
    <mergeCell ref="P32:Q32"/>
    <mergeCell ref="D30:E30"/>
    <mergeCell ref="G30:H30"/>
    <mergeCell ref="J30:K30"/>
    <mergeCell ref="M30:N30"/>
    <mergeCell ref="P30:Q30"/>
    <mergeCell ref="D31:E31"/>
    <mergeCell ref="G31:H31"/>
    <mergeCell ref="J31:K31"/>
    <mergeCell ref="M31:N31"/>
    <mergeCell ref="D28:E28"/>
    <mergeCell ref="G28:H28"/>
    <mergeCell ref="J28:K28"/>
    <mergeCell ref="M28:N28"/>
    <mergeCell ref="P28:Q28"/>
    <mergeCell ref="D29:E29"/>
    <mergeCell ref="G29:H29"/>
    <mergeCell ref="J29:K29"/>
    <mergeCell ref="M29:N29"/>
    <mergeCell ref="P29:Q29"/>
    <mergeCell ref="M26:N26"/>
    <mergeCell ref="P26:Q26"/>
    <mergeCell ref="D27:E27"/>
    <mergeCell ref="G27:H27"/>
    <mergeCell ref="J27:K27"/>
    <mergeCell ref="M27:N27"/>
    <mergeCell ref="P27:Q27"/>
    <mergeCell ref="D24:E24"/>
    <mergeCell ref="G24:H24"/>
    <mergeCell ref="J24:K24"/>
    <mergeCell ref="M24:N24"/>
    <mergeCell ref="P24:Q24"/>
    <mergeCell ref="D26:E26"/>
    <mergeCell ref="G26:H26"/>
    <mergeCell ref="J26:K26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  <mergeCell ref="M18:N18"/>
    <mergeCell ref="P18:Q18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D16:E16"/>
    <mergeCell ref="G16:H16"/>
    <mergeCell ref="J16:K16"/>
    <mergeCell ref="M16:N16"/>
    <mergeCell ref="P16:Q16"/>
    <mergeCell ref="B15:B25"/>
    <mergeCell ref="C15:C19"/>
    <mergeCell ref="D15:E15"/>
    <mergeCell ref="G15:H15"/>
    <mergeCell ref="J15:K15"/>
    <mergeCell ref="M15:N15"/>
    <mergeCell ref="D17:E17"/>
    <mergeCell ref="G17:H17"/>
    <mergeCell ref="J17:K17"/>
    <mergeCell ref="M17:N17"/>
    <mergeCell ref="C20:C24"/>
    <mergeCell ref="D20:E20"/>
    <mergeCell ref="G20:H20"/>
    <mergeCell ref="J20:K20"/>
    <mergeCell ref="M20:N20"/>
    <mergeCell ref="P17:Q17"/>
    <mergeCell ref="D18:E18"/>
    <mergeCell ref="G18:H18"/>
    <mergeCell ref="J18:K18"/>
    <mergeCell ref="S13:T13"/>
    <mergeCell ref="S11:T11"/>
    <mergeCell ref="D12:E12"/>
    <mergeCell ref="G12:H12"/>
    <mergeCell ref="J12:K12"/>
    <mergeCell ref="M12:N12"/>
    <mergeCell ref="P12:Q12"/>
    <mergeCell ref="S12:T12"/>
    <mergeCell ref="P15:Q15"/>
    <mergeCell ref="P11:Q11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3:E13"/>
    <mergeCell ref="G13:H13"/>
    <mergeCell ref="J13:K13"/>
    <mergeCell ref="M13:N13"/>
    <mergeCell ref="P13:Q13"/>
    <mergeCell ref="S8:T8"/>
    <mergeCell ref="G6:H6"/>
    <mergeCell ref="J6:K6"/>
    <mergeCell ref="M6:N6"/>
    <mergeCell ref="P6:Q6"/>
    <mergeCell ref="S6:T6"/>
    <mergeCell ref="D7:E7"/>
    <mergeCell ref="G7:H7"/>
    <mergeCell ref="J7:K7"/>
    <mergeCell ref="M7:N7"/>
    <mergeCell ref="P7:Q7"/>
    <mergeCell ref="S4:T4"/>
    <mergeCell ref="D5:E5"/>
    <mergeCell ref="G5:H5"/>
    <mergeCell ref="J5:K5"/>
    <mergeCell ref="M5:N5"/>
    <mergeCell ref="P5:Q5"/>
    <mergeCell ref="S5:T5"/>
    <mergeCell ref="Q2:Q3"/>
    <mergeCell ref="R2:R3"/>
    <mergeCell ref="B4:B14"/>
    <mergeCell ref="C4:C8"/>
    <mergeCell ref="D4:E4"/>
    <mergeCell ref="G4:H4"/>
    <mergeCell ref="J4:K4"/>
    <mergeCell ref="M4:N4"/>
    <mergeCell ref="P4:Q4"/>
    <mergeCell ref="D6:E6"/>
    <mergeCell ref="K2:K3"/>
    <mergeCell ref="L2:L3"/>
    <mergeCell ref="M2:M3"/>
    <mergeCell ref="N2:N3"/>
    <mergeCell ref="O2:O3"/>
    <mergeCell ref="P2:P3"/>
    <mergeCell ref="D8:E8"/>
    <mergeCell ref="G8:H8"/>
    <mergeCell ref="J8:K8"/>
    <mergeCell ref="M8:N8"/>
    <mergeCell ref="P8:Q8"/>
    <mergeCell ref="P10:Q10"/>
    <mergeCell ref="D11:E11"/>
    <mergeCell ref="G11:H11"/>
    <mergeCell ref="J11:K11"/>
    <mergeCell ref="M11:N11"/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</mergeCells>
  <phoneticPr fontId="1"/>
  <pageMargins left="0.7" right="0.7" top="0.75" bottom="0.75" header="0.3" footer="0.3"/>
  <pageSetup paperSize="8" scale="67" orientation="landscape" horizontalDpi="1200" verticalDpi="1200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74A68-B788-4916-8A63-C7E2B2E33D39}">
  <sheetPr codeName="Sheet23"/>
  <dimension ref="B1:T38"/>
  <sheetViews>
    <sheetView view="pageBreakPreview" zoomScale="85" zoomScaleNormal="100" zoomScaleSheetLayoutView="85" workbookViewId="0">
      <selection activeCell="P10" sqref="P10:R10"/>
    </sheetView>
  </sheetViews>
  <sheetFormatPr defaultRowHeight="18.75"/>
  <cols>
    <col min="1" max="1" width="2.5" customWidth="1"/>
    <col min="4" max="18" width="16" customWidth="1"/>
  </cols>
  <sheetData>
    <row r="1" spans="2:20" ht="24.75" thickBot="1">
      <c r="D1" s="53">
        <v>45670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20" s="5" customFormat="1">
      <c r="B2" s="201"/>
      <c r="C2" s="202"/>
      <c r="D2" s="205">
        <f>D1</f>
        <v>45670</v>
      </c>
      <c r="E2" s="195" t="s">
        <v>3</v>
      </c>
      <c r="F2" s="191" t="s">
        <v>4</v>
      </c>
      <c r="G2" s="197">
        <f>D2+1</f>
        <v>45671</v>
      </c>
      <c r="H2" s="195" t="s">
        <v>5</v>
      </c>
      <c r="I2" s="191" t="s">
        <v>4</v>
      </c>
      <c r="J2" s="197">
        <f>G2+1</f>
        <v>45672</v>
      </c>
      <c r="K2" s="195" t="s">
        <v>6</v>
      </c>
      <c r="L2" s="191" t="s">
        <v>4</v>
      </c>
      <c r="M2" s="197">
        <f>J2+1</f>
        <v>45673</v>
      </c>
      <c r="N2" s="195" t="s">
        <v>7</v>
      </c>
      <c r="O2" s="191" t="s">
        <v>4</v>
      </c>
      <c r="P2" s="197">
        <f>M2+1</f>
        <v>45674</v>
      </c>
      <c r="Q2" s="195" t="s">
        <v>8</v>
      </c>
      <c r="R2" s="191" t="s">
        <v>4</v>
      </c>
    </row>
    <row r="3" spans="2:20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20" ht="18.75" customHeight="1">
      <c r="B4" s="303" t="s">
        <v>31</v>
      </c>
      <c r="C4" s="138" t="s">
        <v>9</v>
      </c>
      <c r="D4" s="156"/>
      <c r="E4" s="153"/>
      <c r="F4" s="6"/>
      <c r="G4" s="156" t="s">
        <v>67</v>
      </c>
      <c r="H4" s="153"/>
      <c r="I4" s="6">
        <v>0.5</v>
      </c>
      <c r="J4" s="264" t="s">
        <v>67</v>
      </c>
      <c r="K4" s="153"/>
      <c r="L4" s="6">
        <v>0.5</v>
      </c>
      <c r="M4" s="264" t="s">
        <v>67</v>
      </c>
      <c r="N4" s="153"/>
      <c r="O4" s="6">
        <v>0.5</v>
      </c>
      <c r="P4" s="264" t="s">
        <v>67</v>
      </c>
      <c r="Q4" s="153"/>
      <c r="R4" s="6">
        <v>0.5</v>
      </c>
      <c r="S4" s="211"/>
      <c r="T4" s="211"/>
    </row>
    <row r="5" spans="2:20" ht="18.75" customHeight="1">
      <c r="B5" s="304"/>
      <c r="C5" s="139"/>
      <c r="D5" s="154"/>
      <c r="E5" s="155"/>
      <c r="F5" s="7"/>
      <c r="G5" s="154" t="s">
        <v>71</v>
      </c>
      <c r="H5" s="155"/>
      <c r="I5" s="7">
        <v>0.1</v>
      </c>
      <c r="J5" s="157" t="s">
        <v>71</v>
      </c>
      <c r="K5" s="155"/>
      <c r="L5" s="7">
        <v>0.1</v>
      </c>
      <c r="M5" s="157" t="s">
        <v>71</v>
      </c>
      <c r="N5" s="155"/>
      <c r="O5" s="7">
        <v>0.1</v>
      </c>
      <c r="P5" s="157" t="s">
        <v>71</v>
      </c>
      <c r="Q5" s="155"/>
      <c r="R5" s="7">
        <v>0.1</v>
      </c>
      <c r="S5" s="211"/>
      <c r="T5" s="211"/>
    </row>
    <row r="6" spans="2:20" ht="18.75" customHeight="1">
      <c r="B6" s="304"/>
      <c r="C6" s="139"/>
      <c r="D6" s="154"/>
      <c r="E6" s="155"/>
      <c r="F6" s="16"/>
      <c r="G6" s="253"/>
      <c r="H6" s="227"/>
      <c r="I6" s="16"/>
      <c r="J6" s="283"/>
      <c r="K6" s="245"/>
      <c r="L6" s="16"/>
      <c r="M6" s="253"/>
      <c r="N6" s="227"/>
      <c r="O6" s="16"/>
      <c r="P6" s="283" t="s">
        <v>477</v>
      </c>
      <c r="Q6" s="245"/>
      <c r="R6" s="16">
        <v>0.5</v>
      </c>
      <c r="S6" s="212"/>
      <c r="T6" s="212"/>
    </row>
    <row r="7" spans="2:20" ht="18.75" customHeight="1">
      <c r="B7" s="304"/>
      <c r="C7" s="139"/>
      <c r="D7" s="154"/>
      <c r="E7" s="155"/>
      <c r="F7" s="104"/>
      <c r="G7" s="183"/>
      <c r="H7" s="184"/>
      <c r="I7" s="58"/>
      <c r="J7" s="283"/>
      <c r="K7" s="245"/>
      <c r="L7" s="16"/>
      <c r="M7" s="226"/>
      <c r="N7" s="227"/>
      <c r="O7" s="16"/>
      <c r="P7" s="283" t="s">
        <v>528</v>
      </c>
      <c r="Q7" s="245"/>
      <c r="R7" s="16">
        <v>0.5</v>
      </c>
      <c r="S7" s="8"/>
      <c r="T7" s="8"/>
    </row>
    <row r="8" spans="2:20" ht="19.5" customHeight="1" thickBot="1">
      <c r="B8" s="304"/>
      <c r="C8" s="139"/>
      <c r="D8" s="154"/>
      <c r="E8" s="155"/>
      <c r="F8" s="104"/>
      <c r="G8" s="213"/>
      <c r="H8" s="306"/>
      <c r="I8" s="100"/>
      <c r="J8" s="307"/>
      <c r="K8" s="302"/>
      <c r="L8" s="101"/>
      <c r="M8" s="160"/>
      <c r="N8" s="159"/>
      <c r="O8" s="97"/>
      <c r="P8" s="283"/>
      <c r="Q8" s="245"/>
      <c r="R8" s="101"/>
      <c r="S8" s="214"/>
      <c r="T8" s="214"/>
    </row>
    <row r="9" spans="2:20" ht="18.75" customHeight="1">
      <c r="B9" s="304"/>
      <c r="C9" s="138" t="s">
        <v>20</v>
      </c>
      <c r="D9" s="242"/>
      <c r="E9" s="243"/>
      <c r="F9" s="105"/>
      <c r="G9" s="254" t="s">
        <v>484</v>
      </c>
      <c r="H9" s="255"/>
      <c r="I9" s="65">
        <v>0.5</v>
      </c>
      <c r="J9" s="156" t="s">
        <v>508</v>
      </c>
      <c r="K9" s="153"/>
      <c r="L9" s="92">
        <v>6.9</v>
      </c>
      <c r="M9" s="156" t="s">
        <v>508</v>
      </c>
      <c r="N9" s="153"/>
      <c r="O9" s="92">
        <v>3.65</v>
      </c>
      <c r="P9" s="156" t="s">
        <v>508</v>
      </c>
      <c r="Q9" s="153"/>
      <c r="R9" s="107">
        <v>4.4000000000000004</v>
      </c>
      <c r="S9" s="11"/>
      <c r="T9" s="11"/>
    </row>
    <row r="10" spans="2:20" ht="18.75" customHeight="1">
      <c r="B10" s="304"/>
      <c r="C10" s="139"/>
      <c r="D10" s="154"/>
      <c r="E10" s="155"/>
      <c r="F10" s="104"/>
      <c r="G10" s="154" t="s">
        <v>508</v>
      </c>
      <c r="H10" s="155"/>
      <c r="I10" s="56">
        <v>6.4</v>
      </c>
      <c r="J10" s="253"/>
      <c r="K10" s="227"/>
      <c r="L10" s="106"/>
      <c r="M10" s="154" t="s">
        <v>526</v>
      </c>
      <c r="N10" s="155"/>
      <c r="O10" s="104">
        <v>2</v>
      </c>
      <c r="P10" s="154" t="s">
        <v>525</v>
      </c>
      <c r="Q10" s="155"/>
      <c r="R10" s="104">
        <v>0.5</v>
      </c>
      <c r="S10" s="11"/>
      <c r="T10" s="11"/>
    </row>
    <row r="11" spans="2:20" ht="18.75" customHeight="1">
      <c r="B11" s="304"/>
      <c r="C11" s="139"/>
      <c r="D11" s="226"/>
      <c r="E11" s="227"/>
      <c r="F11" s="16"/>
      <c r="G11" s="154"/>
      <c r="H11" s="155"/>
      <c r="I11" s="104"/>
      <c r="J11" s="253"/>
      <c r="K11" s="227"/>
      <c r="L11" s="106"/>
      <c r="M11" s="154"/>
      <c r="N11" s="155"/>
      <c r="O11" s="16"/>
      <c r="P11" s="253" t="s">
        <v>527</v>
      </c>
      <c r="Q11" s="227"/>
      <c r="R11" s="16">
        <v>1</v>
      </c>
      <c r="S11" s="215"/>
      <c r="T11" s="215"/>
    </row>
    <row r="12" spans="2:20" ht="18.75" customHeight="1">
      <c r="B12" s="304"/>
      <c r="C12" s="139"/>
      <c r="D12" s="300"/>
      <c r="E12" s="155"/>
      <c r="F12" s="7"/>
      <c r="G12" s="154"/>
      <c r="H12" s="155"/>
      <c r="I12" s="7"/>
      <c r="J12" s="154"/>
      <c r="K12" s="155"/>
      <c r="L12" s="16"/>
      <c r="M12" s="253"/>
      <c r="N12" s="227"/>
      <c r="O12" s="16"/>
      <c r="P12" s="301"/>
      <c r="Q12" s="302"/>
      <c r="R12" s="99"/>
      <c r="S12" s="214"/>
      <c r="T12" s="214"/>
    </row>
    <row r="13" spans="2:20" ht="19.5" customHeight="1" thickBot="1">
      <c r="B13" s="304"/>
      <c r="C13" s="140"/>
      <c r="D13" s="160"/>
      <c r="E13" s="159"/>
      <c r="F13" s="9"/>
      <c r="G13" s="161" t="s">
        <v>68</v>
      </c>
      <c r="H13" s="159"/>
      <c r="I13" s="9">
        <v>0.25</v>
      </c>
      <c r="J13" s="161" t="s">
        <v>68</v>
      </c>
      <c r="K13" s="159"/>
      <c r="L13" s="9">
        <v>0.25</v>
      </c>
      <c r="M13" s="160" t="s">
        <v>206</v>
      </c>
      <c r="N13" s="159"/>
      <c r="O13" s="9">
        <v>1.5</v>
      </c>
      <c r="P13" s="161" t="s">
        <v>68</v>
      </c>
      <c r="Q13" s="159"/>
      <c r="R13" s="9">
        <v>0.25</v>
      </c>
      <c r="S13" s="215"/>
      <c r="T13" s="215"/>
    </row>
    <row r="14" spans="2:20" ht="19.5" thickBot="1">
      <c r="B14" s="305"/>
      <c r="C14" s="18" t="s">
        <v>76</v>
      </c>
      <c r="D14" s="17"/>
      <c r="E14" s="17"/>
      <c r="F14" s="18"/>
      <c r="G14" s="17"/>
      <c r="H14" s="17"/>
      <c r="I14" s="18">
        <f>SUM(I4:I13)</f>
        <v>7.75</v>
      </c>
      <c r="J14" s="98"/>
      <c r="K14" s="17"/>
      <c r="L14" s="18">
        <f>SUM(L4:L13)</f>
        <v>7.75</v>
      </c>
      <c r="M14" s="17"/>
      <c r="N14" s="17"/>
      <c r="O14" s="18">
        <f>SUM(O4:O13)</f>
        <v>7.75</v>
      </c>
      <c r="P14" s="98"/>
      <c r="Q14" s="17"/>
      <c r="R14" s="18">
        <f>SUM(R4:R13)</f>
        <v>7.75</v>
      </c>
    </row>
    <row r="15" spans="2:20" ht="18.75" customHeight="1">
      <c r="B15" s="149" t="s">
        <v>32</v>
      </c>
      <c r="C15" s="138" t="s">
        <v>9</v>
      </c>
      <c r="D15" s="231"/>
      <c r="E15" s="232"/>
      <c r="F15" s="61"/>
      <c r="G15" s="231" t="s">
        <v>166</v>
      </c>
      <c r="H15" s="232"/>
      <c r="I15" s="61">
        <v>0.5</v>
      </c>
      <c r="J15" s="241" t="s">
        <v>166</v>
      </c>
      <c r="K15" s="232"/>
      <c r="L15" s="61">
        <v>0.5</v>
      </c>
      <c r="M15" s="241" t="s">
        <v>166</v>
      </c>
      <c r="N15" s="232"/>
      <c r="O15" s="61">
        <v>0.5</v>
      </c>
      <c r="P15" s="231" t="s">
        <v>166</v>
      </c>
      <c r="Q15" s="232"/>
      <c r="R15" s="61">
        <v>0.5</v>
      </c>
      <c r="S15" s="95"/>
    </row>
    <row r="16" spans="2:20">
      <c r="B16" s="150"/>
      <c r="C16" s="139"/>
      <c r="D16" s="233"/>
      <c r="E16" s="234"/>
      <c r="F16" s="62"/>
      <c r="G16" s="233" t="s">
        <v>511</v>
      </c>
      <c r="H16" s="234"/>
      <c r="I16" s="62">
        <v>0.3</v>
      </c>
      <c r="J16" s="183" t="s">
        <v>231</v>
      </c>
      <c r="K16" s="234"/>
      <c r="L16" s="62">
        <v>0.15</v>
      </c>
      <c r="M16" s="183" t="s">
        <v>232</v>
      </c>
      <c r="N16" s="234"/>
      <c r="O16" s="62">
        <v>0.15</v>
      </c>
      <c r="P16" s="183" t="s">
        <v>512</v>
      </c>
      <c r="Q16" s="234"/>
      <c r="R16" s="62">
        <v>0.15</v>
      </c>
      <c r="S16" s="95"/>
    </row>
    <row r="17" spans="2:19">
      <c r="B17" s="150"/>
      <c r="C17" s="139"/>
      <c r="D17" s="226"/>
      <c r="E17" s="227"/>
      <c r="F17" s="94"/>
      <c r="G17" s="226" t="s">
        <v>513</v>
      </c>
      <c r="H17" s="227"/>
      <c r="I17" s="62">
        <v>0.7</v>
      </c>
      <c r="J17" s="226" t="s">
        <v>514</v>
      </c>
      <c r="K17" s="227"/>
      <c r="L17" s="94">
        <v>1.35</v>
      </c>
      <c r="M17" s="226" t="s">
        <v>514</v>
      </c>
      <c r="N17" s="227"/>
      <c r="O17" s="94">
        <v>2.1</v>
      </c>
      <c r="P17" s="226" t="s">
        <v>514</v>
      </c>
      <c r="Q17" s="227"/>
      <c r="R17" s="94">
        <v>1.35</v>
      </c>
      <c r="S17" s="95"/>
    </row>
    <row r="18" spans="2:19">
      <c r="B18" s="150"/>
      <c r="C18" s="139"/>
      <c r="D18" s="226"/>
      <c r="E18" s="227"/>
      <c r="F18" s="94"/>
      <c r="G18" s="226" t="s">
        <v>515</v>
      </c>
      <c r="H18" s="227"/>
      <c r="I18" s="62">
        <v>0.5</v>
      </c>
      <c r="J18" s="226" t="s">
        <v>516</v>
      </c>
      <c r="K18" s="227"/>
      <c r="L18" s="94">
        <v>1</v>
      </c>
      <c r="M18" s="226"/>
      <c r="N18" s="227"/>
      <c r="O18" s="94"/>
      <c r="P18" s="226" t="s">
        <v>517</v>
      </c>
      <c r="Q18" s="227"/>
      <c r="R18" s="94">
        <v>1</v>
      </c>
      <c r="S18" s="8"/>
    </row>
    <row r="19" spans="2:19" ht="19.5" thickBot="1">
      <c r="B19" s="150"/>
      <c r="C19" s="140"/>
      <c r="D19" s="229"/>
      <c r="E19" s="230"/>
      <c r="F19" s="68"/>
      <c r="G19" s="229" t="s">
        <v>518</v>
      </c>
      <c r="H19" s="230"/>
      <c r="I19" s="68">
        <v>1</v>
      </c>
      <c r="J19" s="229"/>
      <c r="K19" s="230"/>
      <c r="L19" s="68"/>
      <c r="M19" s="239" t="s">
        <v>239</v>
      </c>
      <c r="N19" s="240"/>
      <c r="O19" s="93">
        <v>0.25</v>
      </c>
      <c r="P19" s="312"/>
      <c r="Q19" s="281"/>
      <c r="R19" s="68"/>
      <c r="S19" s="96"/>
    </row>
    <row r="20" spans="2:19" ht="18.75" customHeight="1">
      <c r="B20" s="150"/>
      <c r="C20" s="138" t="s">
        <v>20</v>
      </c>
      <c r="D20" s="226"/>
      <c r="E20" s="227"/>
      <c r="F20" s="94"/>
      <c r="G20" s="226" t="s">
        <v>519</v>
      </c>
      <c r="H20" s="227"/>
      <c r="I20" s="94">
        <v>1.5</v>
      </c>
      <c r="J20" s="226" t="s">
        <v>514</v>
      </c>
      <c r="K20" s="227"/>
      <c r="L20" s="94">
        <v>1.5</v>
      </c>
      <c r="M20" s="226" t="s">
        <v>514</v>
      </c>
      <c r="N20" s="227"/>
      <c r="O20" s="94">
        <v>2</v>
      </c>
      <c r="P20" s="226" t="s">
        <v>514</v>
      </c>
      <c r="Q20" s="227"/>
      <c r="R20" s="94">
        <v>2</v>
      </c>
      <c r="S20" s="11"/>
    </row>
    <row r="21" spans="2:19" ht="18.75" customHeight="1">
      <c r="B21" s="150"/>
      <c r="C21" s="139"/>
      <c r="D21" s="226"/>
      <c r="E21" s="227"/>
      <c r="F21" s="94"/>
      <c r="G21" s="226" t="s">
        <v>513</v>
      </c>
      <c r="H21" s="227"/>
      <c r="I21" s="94">
        <v>2</v>
      </c>
      <c r="J21" s="226" t="s">
        <v>520</v>
      </c>
      <c r="K21" s="227"/>
      <c r="L21" s="94">
        <v>1.5</v>
      </c>
      <c r="M21" s="226" t="s">
        <v>520</v>
      </c>
      <c r="N21" s="227"/>
      <c r="O21" s="94">
        <v>1.5</v>
      </c>
      <c r="P21" s="226" t="s">
        <v>520</v>
      </c>
      <c r="Q21" s="227"/>
      <c r="R21" s="94">
        <v>1.5</v>
      </c>
      <c r="S21" s="11"/>
    </row>
    <row r="22" spans="2:19" ht="18.75" customHeight="1">
      <c r="B22" s="150"/>
      <c r="C22" s="139"/>
      <c r="D22" s="183"/>
      <c r="E22" s="184"/>
      <c r="F22" s="94"/>
      <c r="G22" s="183" t="s">
        <v>491</v>
      </c>
      <c r="H22" s="184"/>
      <c r="I22" s="94">
        <v>0.5</v>
      </c>
      <c r="J22" s="183" t="s">
        <v>493</v>
      </c>
      <c r="K22" s="234"/>
      <c r="L22" s="66">
        <v>0.5</v>
      </c>
      <c r="M22" s="183" t="s">
        <v>491</v>
      </c>
      <c r="N22" s="184"/>
      <c r="O22" s="94">
        <v>0.5</v>
      </c>
      <c r="P22" s="183" t="s">
        <v>491</v>
      </c>
      <c r="Q22" s="184"/>
      <c r="R22" s="94">
        <v>0.5</v>
      </c>
      <c r="S22" s="96"/>
    </row>
    <row r="23" spans="2:19" ht="18.75" customHeight="1">
      <c r="B23" s="150"/>
      <c r="C23" s="139"/>
      <c r="D23" s="183"/>
      <c r="E23" s="184"/>
      <c r="F23" s="94"/>
      <c r="G23" s="183"/>
      <c r="H23" s="184"/>
      <c r="I23" s="94"/>
      <c r="J23" s="183" t="s">
        <v>491</v>
      </c>
      <c r="K23" s="184"/>
      <c r="L23" s="94">
        <v>0.5</v>
      </c>
      <c r="M23" s="183"/>
      <c r="N23" s="184"/>
      <c r="O23" s="94"/>
      <c r="P23" s="183"/>
      <c r="Q23" s="184"/>
      <c r="R23" s="94"/>
      <c r="S23" s="96"/>
    </row>
    <row r="24" spans="2:19" ht="19.5" customHeight="1" thickBot="1">
      <c r="B24" s="150"/>
      <c r="C24" s="140"/>
      <c r="D24" s="178"/>
      <c r="E24" s="228"/>
      <c r="F24" s="60"/>
      <c r="G24" s="297" t="s">
        <v>174</v>
      </c>
      <c r="H24" s="228"/>
      <c r="I24" s="60">
        <v>0.75</v>
      </c>
      <c r="J24" s="298" t="s">
        <v>174</v>
      </c>
      <c r="K24" s="299"/>
      <c r="L24" s="93">
        <v>0.75</v>
      </c>
      <c r="M24" s="297" t="s">
        <v>174</v>
      </c>
      <c r="N24" s="228"/>
      <c r="O24" s="60">
        <v>0.75</v>
      </c>
      <c r="P24" s="297" t="s">
        <v>174</v>
      </c>
      <c r="Q24" s="228"/>
      <c r="R24" s="60">
        <v>0.75</v>
      </c>
    </row>
    <row r="25" spans="2:19" ht="19.5" thickBot="1">
      <c r="B25" s="151"/>
      <c r="C25" s="18" t="s">
        <v>76</v>
      </c>
      <c r="D25" s="17"/>
      <c r="E25" s="17"/>
      <c r="F25" s="18"/>
      <c r="G25" s="17"/>
      <c r="H25" s="17"/>
      <c r="I25" s="18">
        <f>SUM(I15:I24)</f>
        <v>7.75</v>
      </c>
      <c r="J25" s="17"/>
      <c r="K25" s="17"/>
      <c r="L25" s="18">
        <f>SUM(L15:L24)</f>
        <v>7.75</v>
      </c>
      <c r="M25" s="17"/>
      <c r="N25" s="17"/>
      <c r="O25" s="18">
        <f>SUM(O15:O24)</f>
        <v>7.75</v>
      </c>
      <c r="P25" s="17"/>
      <c r="Q25" s="17"/>
      <c r="R25" s="18">
        <f>SUM(R15:R24)</f>
        <v>7.75</v>
      </c>
    </row>
    <row r="26" spans="2:19" ht="18.75" customHeight="1">
      <c r="B26" s="149" t="s">
        <v>65</v>
      </c>
      <c r="C26" s="138" t="s">
        <v>9</v>
      </c>
      <c r="D26" s="152"/>
      <c r="E26" s="153"/>
      <c r="F26" s="6"/>
      <c r="G26" s="154" t="s">
        <v>521</v>
      </c>
      <c r="H26" s="155"/>
      <c r="I26" s="6">
        <v>0.25</v>
      </c>
      <c r="J26" s="154" t="s">
        <v>474</v>
      </c>
      <c r="K26" s="155"/>
      <c r="L26" s="6">
        <v>3</v>
      </c>
      <c r="M26" s="154" t="s">
        <v>474</v>
      </c>
      <c r="N26" s="155"/>
      <c r="O26" s="6">
        <v>3</v>
      </c>
      <c r="P26" s="156" t="s">
        <v>37</v>
      </c>
      <c r="Q26" s="153"/>
      <c r="R26" s="6">
        <v>0.25</v>
      </c>
    </row>
    <row r="27" spans="2:19" ht="18.75" customHeight="1">
      <c r="B27" s="150"/>
      <c r="C27" s="139"/>
      <c r="D27" s="157"/>
      <c r="E27" s="155"/>
      <c r="F27" s="7"/>
      <c r="G27" s="154" t="s">
        <v>472</v>
      </c>
      <c r="H27" s="155"/>
      <c r="I27" s="7">
        <v>2</v>
      </c>
      <c r="J27" s="154"/>
      <c r="K27" s="155"/>
      <c r="L27" s="7"/>
      <c r="M27" s="154"/>
      <c r="N27" s="155"/>
      <c r="O27" s="7"/>
      <c r="P27" s="154" t="s">
        <v>474</v>
      </c>
      <c r="Q27" s="155"/>
      <c r="R27" s="7">
        <v>2.75</v>
      </c>
    </row>
    <row r="28" spans="2:19" ht="18.75" customHeight="1">
      <c r="B28" s="150"/>
      <c r="C28" s="139"/>
      <c r="D28" s="157"/>
      <c r="E28" s="155"/>
      <c r="F28" s="7"/>
      <c r="G28" s="216" t="s">
        <v>522</v>
      </c>
      <c r="H28" s="163"/>
      <c r="I28" s="20">
        <v>1</v>
      </c>
      <c r="J28" s="154"/>
      <c r="K28" s="155"/>
      <c r="L28" s="7"/>
      <c r="M28" s="154"/>
      <c r="N28" s="155"/>
      <c r="O28" s="7"/>
      <c r="P28" s="154"/>
      <c r="Q28" s="155"/>
      <c r="R28" s="7"/>
    </row>
    <row r="29" spans="2:19" ht="18.75" customHeight="1">
      <c r="B29" s="150"/>
      <c r="C29" s="139"/>
      <c r="D29" s="157"/>
      <c r="E29" s="155"/>
      <c r="F29" s="7"/>
      <c r="G29" s="154"/>
      <c r="H29" s="155"/>
      <c r="I29" s="12"/>
      <c r="J29" s="154"/>
      <c r="K29" s="155"/>
      <c r="L29" s="12"/>
      <c r="M29" s="154"/>
      <c r="N29" s="155"/>
      <c r="O29" s="12"/>
      <c r="P29" s="154"/>
      <c r="Q29" s="155"/>
      <c r="R29" s="12"/>
    </row>
    <row r="30" spans="2:19" ht="19.5" customHeight="1" thickBot="1">
      <c r="B30" s="150"/>
      <c r="C30" s="140"/>
      <c r="D30" s="158"/>
      <c r="E30" s="159"/>
      <c r="F30" s="9"/>
      <c r="G30" s="161"/>
      <c r="H30" s="159"/>
      <c r="I30" s="9"/>
      <c r="J30" s="161"/>
      <c r="K30" s="159"/>
      <c r="L30" s="9"/>
      <c r="M30" s="161"/>
      <c r="N30" s="159"/>
      <c r="O30" s="9"/>
      <c r="P30" s="161"/>
      <c r="Q30" s="159"/>
      <c r="R30" s="9"/>
    </row>
    <row r="31" spans="2:19" ht="18.75" customHeight="1">
      <c r="B31" s="150"/>
      <c r="C31" s="138" t="s">
        <v>20</v>
      </c>
      <c r="D31" s="152"/>
      <c r="E31" s="153"/>
      <c r="F31" s="6"/>
      <c r="G31" s="154" t="s">
        <v>523</v>
      </c>
      <c r="H31" s="155"/>
      <c r="I31" s="7">
        <v>1.5</v>
      </c>
      <c r="J31" s="154" t="s">
        <v>37</v>
      </c>
      <c r="K31" s="155"/>
      <c r="L31" s="7">
        <v>0.5</v>
      </c>
      <c r="M31" s="154" t="s">
        <v>474</v>
      </c>
      <c r="N31" s="155"/>
      <c r="O31" s="7">
        <v>4</v>
      </c>
      <c r="P31" s="154" t="s">
        <v>474</v>
      </c>
      <c r="Q31" s="155"/>
      <c r="R31" s="7">
        <v>4</v>
      </c>
    </row>
    <row r="32" spans="2:19" ht="18.75" customHeight="1">
      <c r="B32" s="150"/>
      <c r="C32" s="139"/>
      <c r="D32" s="157"/>
      <c r="E32" s="155"/>
      <c r="F32" s="7"/>
      <c r="G32" s="154" t="s">
        <v>499</v>
      </c>
      <c r="H32" s="155"/>
      <c r="I32" s="7">
        <v>1</v>
      </c>
      <c r="J32" s="154" t="s">
        <v>474</v>
      </c>
      <c r="K32" s="155"/>
      <c r="L32" s="7">
        <v>3.5</v>
      </c>
      <c r="M32" s="154"/>
      <c r="N32" s="155"/>
      <c r="O32" s="7"/>
      <c r="P32" s="154"/>
      <c r="Q32" s="155"/>
      <c r="R32" s="7"/>
    </row>
    <row r="33" spans="2:18" ht="18.75" customHeight="1">
      <c r="B33" s="150"/>
      <c r="C33" s="139"/>
      <c r="D33" s="157"/>
      <c r="E33" s="155"/>
      <c r="F33" s="7"/>
      <c r="G33" s="154" t="s">
        <v>524</v>
      </c>
      <c r="H33" s="155"/>
      <c r="I33" s="7">
        <v>1.25</v>
      </c>
      <c r="J33" s="154"/>
      <c r="K33" s="155"/>
      <c r="L33" s="7"/>
      <c r="M33" s="154"/>
      <c r="N33" s="155"/>
      <c r="O33" s="7"/>
      <c r="P33" s="154"/>
      <c r="Q33" s="155"/>
      <c r="R33" s="7"/>
    </row>
    <row r="34" spans="2:18" ht="18.75" customHeight="1">
      <c r="B34" s="150"/>
      <c r="C34" s="139"/>
      <c r="D34" s="157"/>
      <c r="E34" s="155"/>
      <c r="F34" s="7"/>
      <c r="G34" s="154"/>
      <c r="H34" s="155"/>
      <c r="I34" s="7"/>
      <c r="J34" s="154"/>
      <c r="K34" s="155"/>
      <c r="L34" s="7"/>
      <c r="M34" s="154"/>
      <c r="N34" s="155"/>
      <c r="O34" s="7"/>
      <c r="P34" s="154"/>
      <c r="Q34" s="155"/>
      <c r="R34" s="7"/>
    </row>
    <row r="35" spans="2:18" ht="19.5" customHeight="1" thickBot="1">
      <c r="B35" s="150"/>
      <c r="C35" s="140"/>
      <c r="D35" s="157"/>
      <c r="E35" s="155"/>
      <c r="F35" s="7"/>
      <c r="G35" s="161"/>
      <c r="H35" s="159"/>
      <c r="I35" s="9"/>
      <c r="J35" s="161"/>
      <c r="K35" s="159"/>
      <c r="L35" s="9"/>
      <c r="M35" s="161"/>
      <c r="N35" s="159"/>
      <c r="O35" s="9"/>
      <c r="P35" s="161"/>
      <c r="Q35" s="159"/>
      <c r="R35" s="9"/>
    </row>
    <row r="36" spans="2:18" ht="19.5" thickBot="1">
      <c r="B36" s="151"/>
      <c r="C36" s="18" t="s">
        <v>76</v>
      </c>
      <c r="D36" s="17"/>
      <c r="E36" s="17"/>
      <c r="F36" s="18"/>
      <c r="G36" s="17"/>
      <c r="H36" s="17"/>
      <c r="I36" s="18">
        <f>SUM(I26:I35)</f>
        <v>7</v>
      </c>
      <c r="J36" s="17"/>
      <c r="K36" s="17"/>
      <c r="L36" s="18">
        <f>SUM(L26:L35)</f>
        <v>7</v>
      </c>
      <c r="M36" s="17"/>
      <c r="N36" s="17"/>
      <c r="O36" s="18">
        <f>SUM(O26:O35)</f>
        <v>7</v>
      </c>
      <c r="P36" s="17"/>
      <c r="Q36" s="17"/>
      <c r="R36" s="18">
        <f>SUM(R26:R35)</f>
        <v>7</v>
      </c>
    </row>
    <row r="38" spans="2:18">
      <c r="B38" s="294" t="s">
        <v>182</v>
      </c>
      <c r="C38" s="295"/>
      <c r="D38" s="103" t="s">
        <v>183</v>
      </c>
      <c r="F38" s="296" t="s">
        <v>184</v>
      </c>
      <c r="G38" s="296"/>
    </row>
  </sheetData>
  <mergeCells count="186">
    <mergeCell ref="D35:E35"/>
    <mergeCell ref="G35:H35"/>
    <mergeCell ref="J35:K35"/>
    <mergeCell ref="M35:N35"/>
    <mergeCell ref="P35:Q35"/>
    <mergeCell ref="B38:C38"/>
    <mergeCell ref="F38:G38"/>
    <mergeCell ref="D33:E33"/>
    <mergeCell ref="G33:H33"/>
    <mergeCell ref="J33:K33"/>
    <mergeCell ref="M33:N33"/>
    <mergeCell ref="P33:Q33"/>
    <mergeCell ref="D34:E34"/>
    <mergeCell ref="G34:H34"/>
    <mergeCell ref="J34:K34"/>
    <mergeCell ref="M34:N34"/>
    <mergeCell ref="P34:Q34"/>
    <mergeCell ref="C31:C35"/>
    <mergeCell ref="B26:B36"/>
    <mergeCell ref="C26:C30"/>
    <mergeCell ref="P31:Q31"/>
    <mergeCell ref="D32:E32"/>
    <mergeCell ref="G32:H32"/>
    <mergeCell ref="J32:K32"/>
    <mergeCell ref="M32:N32"/>
    <mergeCell ref="P32:Q32"/>
    <mergeCell ref="D30:E30"/>
    <mergeCell ref="G30:H30"/>
    <mergeCell ref="J30:K30"/>
    <mergeCell ref="M30:N30"/>
    <mergeCell ref="P30:Q30"/>
    <mergeCell ref="D31:E31"/>
    <mergeCell ref="G31:H31"/>
    <mergeCell ref="J31:K31"/>
    <mergeCell ref="M31:N31"/>
    <mergeCell ref="D28:E28"/>
    <mergeCell ref="G28:H28"/>
    <mergeCell ref="J28:K28"/>
    <mergeCell ref="M28:N28"/>
    <mergeCell ref="P28:Q28"/>
    <mergeCell ref="D29:E29"/>
    <mergeCell ref="G29:H29"/>
    <mergeCell ref="J29:K29"/>
    <mergeCell ref="M29:N29"/>
    <mergeCell ref="P29:Q29"/>
    <mergeCell ref="M26:N26"/>
    <mergeCell ref="P26:Q26"/>
    <mergeCell ref="D27:E27"/>
    <mergeCell ref="G27:H27"/>
    <mergeCell ref="J27:K27"/>
    <mergeCell ref="M27:N27"/>
    <mergeCell ref="P27:Q27"/>
    <mergeCell ref="D24:E24"/>
    <mergeCell ref="G24:H24"/>
    <mergeCell ref="J24:K24"/>
    <mergeCell ref="M24:N24"/>
    <mergeCell ref="P24:Q24"/>
    <mergeCell ref="D26:E26"/>
    <mergeCell ref="G26:H26"/>
    <mergeCell ref="J26:K26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  <mergeCell ref="M18:N18"/>
    <mergeCell ref="P18:Q18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D16:E16"/>
    <mergeCell ref="G16:H16"/>
    <mergeCell ref="J16:K16"/>
    <mergeCell ref="M16:N16"/>
    <mergeCell ref="P16:Q16"/>
    <mergeCell ref="B15:B25"/>
    <mergeCell ref="C15:C19"/>
    <mergeCell ref="D15:E15"/>
    <mergeCell ref="G15:H15"/>
    <mergeCell ref="J15:K15"/>
    <mergeCell ref="M15:N15"/>
    <mergeCell ref="D17:E17"/>
    <mergeCell ref="G17:H17"/>
    <mergeCell ref="J17:K17"/>
    <mergeCell ref="M17:N17"/>
    <mergeCell ref="C20:C24"/>
    <mergeCell ref="D20:E20"/>
    <mergeCell ref="G20:H20"/>
    <mergeCell ref="J20:K20"/>
    <mergeCell ref="M20:N20"/>
    <mergeCell ref="P17:Q17"/>
    <mergeCell ref="D18:E18"/>
    <mergeCell ref="G18:H18"/>
    <mergeCell ref="J18:K18"/>
    <mergeCell ref="S13:T13"/>
    <mergeCell ref="S11:T11"/>
    <mergeCell ref="D12:E12"/>
    <mergeCell ref="G12:H12"/>
    <mergeCell ref="J12:K12"/>
    <mergeCell ref="M12:N12"/>
    <mergeCell ref="P12:Q12"/>
    <mergeCell ref="S12:T12"/>
    <mergeCell ref="P15:Q15"/>
    <mergeCell ref="P11:Q11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3:E13"/>
    <mergeCell ref="G13:H13"/>
    <mergeCell ref="J13:K13"/>
    <mergeCell ref="M13:N13"/>
    <mergeCell ref="P13:Q13"/>
    <mergeCell ref="S8:T8"/>
    <mergeCell ref="G6:H6"/>
    <mergeCell ref="J6:K6"/>
    <mergeCell ref="M6:N6"/>
    <mergeCell ref="P6:Q6"/>
    <mergeCell ref="S6:T6"/>
    <mergeCell ref="D7:E7"/>
    <mergeCell ref="G7:H7"/>
    <mergeCell ref="J7:K7"/>
    <mergeCell ref="M7:N7"/>
    <mergeCell ref="P7:Q7"/>
    <mergeCell ref="S4:T4"/>
    <mergeCell ref="D5:E5"/>
    <mergeCell ref="G5:H5"/>
    <mergeCell ref="J5:K5"/>
    <mergeCell ref="M5:N5"/>
    <mergeCell ref="P5:Q5"/>
    <mergeCell ref="S5:T5"/>
    <mergeCell ref="Q2:Q3"/>
    <mergeCell ref="R2:R3"/>
    <mergeCell ref="B4:B14"/>
    <mergeCell ref="C4:C8"/>
    <mergeCell ref="D4:E4"/>
    <mergeCell ref="G4:H4"/>
    <mergeCell ref="J4:K4"/>
    <mergeCell ref="M4:N4"/>
    <mergeCell ref="P4:Q4"/>
    <mergeCell ref="D6:E6"/>
    <mergeCell ref="K2:K3"/>
    <mergeCell ref="L2:L3"/>
    <mergeCell ref="M2:M3"/>
    <mergeCell ref="N2:N3"/>
    <mergeCell ref="O2:O3"/>
    <mergeCell ref="P2:P3"/>
    <mergeCell ref="D8:E8"/>
    <mergeCell ref="G8:H8"/>
    <mergeCell ref="J8:K8"/>
    <mergeCell ref="M8:N8"/>
    <mergeCell ref="P8:Q8"/>
    <mergeCell ref="P10:Q10"/>
    <mergeCell ref="D11:E11"/>
    <mergeCell ref="G11:H11"/>
    <mergeCell ref="J11:K11"/>
    <mergeCell ref="M11:N11"/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</mergeCells>
  <phoneticPr fontId="1"/>
  <pageMargins left="0.7" right="0.7" top="0.75" bottom="0.75" header="0.3" footer="0.3"/>
  <pageSetup paperSize="8" scale="67" orientation="landscape" horizontalDpi="1200" verticalDpi="1200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FC56-D812-41D5-866A-F656AB1EE140}">
  <sheetPr codeName="Sheet24"/>
  <dimension ref="B1:T38"/>
  <sheetViews>
    <sheetView view="pageBreakPreview" zoomScale="85" zoomScaleNormal="100" zoomScaleSheetLayoutView="85" workbookViewId="0">
      <selection activeCell="M6" sqref="M6:O6"/>
    </sheetView>
  </sheetViews>
  <sheetFormatPr defaultRowHeight="18.75"/>
  <cols>
    <col min="1" max="1" width="2.5" customWidth="1"/>
    <col min="4" max="18" width="16" customWidth="1"/>
  </cols>
  <sheetData>
    <row r="1" spans="2:20" ht="24.75" thickBot="1">
      <c r="D1" s="53">
        <v>45663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20" s="5" customFormat="1">
      <c r="B2" s="201"/>
      <c r="C2" s="202"/>
      <c r="D2" s="205">
        <f>D1</f>
        <v>45663</v>
      </c>
      <c r="E2" s="195" t="s">
        <v>3</v>
      </c>
      <c r="F2" s="191" t="s">
        <v>4</v>
      </c>
      <c r="G2" s="197">
        <f>D2+1</f>
        <v>45664</v>
      </c>
      <c r="H2" s="195" t="s">
        <v>5</v>
      </c>
      <c r="I2" s="191" t="s">
        <v>4</v>
      </c>
      <c r="J2" s="197">
        <f>G2+1</f>
        <v>45665</v>
      </c>
      <c r="K2" s="195" t="s">
        <v>6</v>
      </c>
      <c r="L2" s="191" t="s">
        <v>4</v>
      </c>
      <c r="M2" s="197">
        <f>J2+1</f>
        <v>45666</v>
      </c>
      <c r="N2" s="195" t="s">
        <v>7</v>
      </c>
      <c r="O2" s="191" t="s">
        <v>4</v>
      </c>
      <c r="P2" s="197">
        <f>M2+1</f>
        <v>45667</v>
      </c>
      <c r="Q2" s="195" t="s">
        <v>8</v>
      </c>
      <c r="R2" s="191" t="s">
        <v>4</v>
      </c>
    </row>
    <row r="3" spans="2:20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20" ht="18.75" customHeight="1">
      <c r="B4" s="303" t="s">
        <v>31</v>
      </c>
      <c r="C4" s="138" t="s">
        <v>9</v>
      </c>
      <c r="D4" s="156" t="s">
        <v>67</v>
      </c>
      <c r="E4" s="153"/>
      <c r="F4" s="6">
        <v>0.5</v>
      </c>
      <c r="G4" s="156" t="s">
        <v>67</v>
      </c>
      <c r="H4" s="153"/>
      <c r="I4" s="6">
        <v>0.5</v>
      </c>
      <c r="J4" s="264" t="s">
        <v>67</v>
      </c>
      <c r="K4" s="153"/>
      <c r="L4" s="6">
        <v>0.5</v>
      </c>
      <c r="M4" s="264" t="s">
        <v>67</v>
      </c>
      <c r="N4" s="153"/>
      <c r="O4" s="6">
        <v>0.5</v>
      </c>
      <c r="P4" s="264" t="s">
        <v>67</v>
      </c>
      <c r="Q4" s="153"/>
      <c r="R4" s="6">
        <v>0.5</v>
      </c>
      <c r="S4" s="211"/>
      <c r="T4" s="211"/>
    </row>
    <row r="5" spans="2:20" ht="18.75" customHeight="1">
      <c r="B5" s="304"/>
      <c r="C5" s="139"/>
      <c r="D5" s="154" t="s">
        <v>71</v>
      </c>
      <c r="E5" s="155"/>
      <c r="F5" s="7">
        <v>0.1</v>
      </c>
      <c r="G5" s="154" t="s">
        <v>71</v>
      </c>
      <c r="H5" s="155"/>
      <c r="I5" s="7">
        <v>0.1</v>
      </c>
      <c r="J5" s="157" t="s">
        <v>71</v>
      </c>
      <c r="K5" s="155"/>
      <c r="L5" s="7">
        <v>0.1</v>
      </c>
      <c r="M5" s="157" t="s">
        <v>71</v>
      </c>
      <c r="N5" s="155"/>
      <c r="O5" s="7">
        <v>0.1</v>
      </c>
      <c r="P5" s="157" t="s">
        <v>71</v>
      </c>
      <c r="Q5" s="155"/>
      <c r="R5" s="7">
        <v>0.1</v>
      </c>
      <c r="S5" s="211"/>
      <c r="T5" s="211"/>
    </row>
    <row r="6" spans="2:20" ht="18.75" customHeight="1">
      <c r="B6" s="304"/>
      <c r="C6" s="139"/>
      <c r="D6" s="154" t="s">
        <v>509</v>
      </c>
      <c r="E6" s="155"/>
      <c r="F6" s="16">
        <v>0.5</v>
      </c>
      <c r="G6" s="253" t="s">
        <v>501</v>
      </c>
      <c r="H6" s="227"/>
      <c r="I6" s="16">
        <v>1</v>
      </c>
      <c r="J6" s="283" t="s">
        <v>477</v>
      </c>
      <c r="K6" s="245"/>
      <c r="L6" s="16">
        <v>0.4</v>
      </c>
      <c r="M6" s="253" t="s">
        <v>503</v>
      </c>
      <c r="N6" s="227"/>
      <c r="O6" s="16">
        <v>1</v>
      </c>
      <c r="P6" s="253" t="s">
        <v>476</v>
      </c>
      <c r="Q6" s="227"/>
      <c r="R6" s="16">
        <v>1.5</v>
      </c>
      <c r="S6" s="212"/>
      <c r="T6" s="212"/>
    </row>
    <row r="7" spans="2:20" ht="18.75" customHeight="1">
      <c r="B7" s="304"/>
      <c r="C7" s="139"/>
      <c r="D7" s="154" t="s">
        <v>510</v>
      </c>
      <c r="E7" s="155"/>
      <c r="F7" s="104">
        <v>0.5</v>
      </c>
      <c r="G7" s="183" t="s">
        <v>506</v>
      </c>
      <c r="H7" s="184"/>
      <c r="I7" s="58">
        <v>0.5</v>
      </c>
      <c r="J7" s="283"/>
      <c r="K7" s="245"/>
      <c r="L7" s="16"/>
      <c r="M7" s="226"/>
      <c r="N7" s="227"/>
      <c r="O7" s="16"/>
      <c r="P7" s="283" t="s">
        <v>477</v>
      </c>
      <c r="Q7" s="245"/>
      <c r="R7" s="16">
        <v>0.4</v>
      </c>
      <c r="S7" s="8"/>
      <c r="T7" s="8"/>
    </row>
    <row r="8" spans="2:20" ht="19.5" customHeight="1" thickBot="1">
      <c r="B8" s="304"/>
      <c r="C8" s="139"/>
      <c r="D8" s="154" t="s">
        <v>500</v>
      </c>
      <c r="E8" s="155"/>
      <c r="F8" s="104">
        <v>0.5</v>
      </c>
      <c r="G8" s="213"/>
      <c r="H8" s="306"/>
      <c r="I8" s="100"/>
      <c r="J8" s="307"/>
      <c r="K8" s="302"/>
      <c r="L8" s="101"/>
      <c r="M8" s="160"/>
      <c r="N8" s="159"/>
      <c r="O8" s="97"/>
      <c r="P8" s="283"/>
      <c r="Q8" s="245"/>
      <c r="R8" s="101"/>
      <c r="S8" s="214"/>
      <c r="T8" s="214"/>
    </row>
    <row r="9" spans="2:20" ht="18.75" customHeight="1">
      <c r="B9" s="304"/>
      <c r="C9" s="138" t="s">
        <v>20</v>
      </c>
      <c r="D9" s="242" t="s">
        <v>473</v>
      </c>
      <c r="E9" s="243"/>
      <c r="F9" s="105">
        <v>5.4</v>
      </c>
      <c r="G9" s="242" t="s">
        <v>473</v>
      </c>
      <c r="H9" s="243"/>
      <c r="I9" s="105">
        <v>5.4</v>
      </c>
      <c r="J9" s="254" t="s">
        <v>484</v>
      </c>
      <c r="K9" s="255"/>
      <c r="L9" s="65">
        <v>0.5</v>
      </c>
      <c r="M9" s="242" t="s">
        <v>473</v>
      </c>
      <c r="N9" s="243"/>
      <c r="O9" s="102">
        <v>3.65</v>
      </c>
      <c r="P9" s="156" t="s">
        <v>504</v>
      </c>
      <c r="Q9" s="153"/>
      <c r="R9" s="105">
        <v>1</v>
      </c>
      <c r="S9" s="11"/>
      <c r="T9" s="11"/>
    </row>
    <row r="10" spans="2:20" ht="18.75" customHeight="1">
      <c r="B10" s="304"/>
      <c r="C10" s="139"/>
      <c r="D10" s="154"/>
      <c r="E10" s="155"/>
      <c r="F10" s="104"/>
      <c r="G10" s="154"/>
      <c r="H10" s="155"/>
      <c r="I10" s="104"/>
      <c r="J10" s="253" t="s">
        <v>507</v>
      </c>
      <c r="K10" s="227"/>
      <c r="L10" s="106">
        <v>6</v>
      </c>
      <c r="M10" s="226"/>
      <c r="N10" s="227"/>
      <c r="O10" s="16"/>
      <c r="P10" s="154" t="s">
        <v>505</v>
      </c>
      <c r="Q10" s="155"/>
      <c r="R10" s="104">
        <v>0.5</v>
      </c>
      <c r="S10" s="11"/>
      <c r="T10" s="11"/>
    </row>
    <row r="11" spans="2:20" ht="18.75" customHeight="1">
      <c r="B11" s="304"/>
      <c r="C11" s="139"/>
      <c r="D11" s="226"/>
      <c r="E11" s="227"/>
      <c r="F11" s="16"/>
      <c r="G11" s="244"/>
      <c r="H11" s="245"/>
      <c r="I11" s="16"/>
      <c r="J11" s="253"/>
      <c r="K11" s="227"/>
      <c r="L11" s="106"/>
      <c r="M11" s="154"/>
      <c r="N11" s="155"/>
      <c r="O11" s="16"/>
      <c r="P11" s="154" t="s">
        <v>508</v>
      </c>
      <c r="Q11" s="155"/>
      <c r="R11" s="56">
        <v>3.5</v>
      </c>
      <c r="S11" s="215"/>
      <c r="T11" s="215"/>
    </row>
    <row r="12" spans="2:20" ht="18.75" customHeight="1">
      <c r="B12" s="304"/>
      <c r="C12" s="139"/>
      <c r="D12" s="300"/>
      <c r="E12" s="155"/>
      <c r="F12" s="7"/>
      <c r="G12" s="154"/>
      <c r="H12" s="155"/>
      <c r="I12" s="7"/>
      <c r="J12" s="154"/>
      <c r="K12" s="155"/>
      <c r="L12" s="16"/>
      <c r="M12" s="253" t="s">
        <v>502</v>
      </c>
      <c r="N12" s="227"/>
      <c r="O12" s="16">
        <v>1</v>
      </c>
      <c r="P12" s="301"/>
      <c r="Q12" s="302"/>
      <c r="R12" s="99"/>
      <c r="S12" s="214"/>
      <c r="T12" s="214"/>
    </row>
    <row r="13" spans="2:20" ht="19.5" customHeight="1" thickBot="1">
      <c r="B13" s="304"/>
      <c r="C13" s="140"/>
      <c r="D13" s="160" t="s">
        <v>68</v>
      </c>
      <c r="E13" s="159"/>
      <c r="F13" s="9">
        <v>0.25</v>
      </c>
      <c r="G13" s="161" t="s">
        <v>68</v>
      </c>
      <c r="H13" s="159"/>
      <c r="I13" s="9">
        <v>0.25</v>
      </c>
      <c r="J13" s="161" t="s">
        <v>68</v>
      </c>
      <c r="K13" s="159"/>
      <c r="L13" s="9">
        <v>0.25</v>
      </c>
      <c r="M13" s="160" t="s">
        <v>206</v>
      </c>
      <c r="N13" s="159"/>
      <c r="O13" s="9">
        <v>1.5</v>
      </c>
      <c r="P13" s="161" t="s">
        <v>68</v>
      </c>
      <c r="Q13" s="159"/>
      <c r="R13" s="9">
        <v>0.25</v>
      </c>
      <c r="S13" s="215"/>
      <c r="T13" s="215"/>
    </row>
    <row r="14" spans="2:20" ht="19.5" thickBot="1">
      <c r="B14" s="305"/>
      <c r="C14" s="18" t="s">
        <v>76</v>
      </c>
      <c r="D14" s="17"/>
      <c r="E14" s="17"/>
      <c r="F14" s="18">
        <f>SUM(F4:F13)</f>
        <v>7.75</v>
      </c>
      <c r="G14" s="17"/>
      <c r="H14" s="17"/>
      <c r="I14" s="18">
        <f>SUM(I4:I13)</f>
        <v>7.75</v>
      </c>
      <c r="J14" s="98"/>
      <c r="K14" s="17"/>
      <c r="L14" s="18">
        <f>SUM(L4:L13)</f>
        <v>7.75</v>
      </c>
      <c r="M14" s="17"/>
      <c r="N14" s="17"/>
      <c r="O14" s="18">
        <f>SUM(O4:O13)</f>
        <v>7.75</v>
      </c>
      <c r="P14" s="98"/>
      <c r="Q14" s="17"/>
      <c r="R14" s="18">
        <f>SUM(R4:R13)</f>
        <v>7.75</v>
      </c>
    </row>
    <row r="15" spans="2:20" ht="18.75" customHeight="1">
      <c r="B15" s="149" t="s">
        <v>32</v>
      </c>
      <c r="C15" s="138" t="s">
        <v>9</v>
      </c>
      <c r="D15" s="231" t="s">
        <v>166</v>
      </c>
      <c r="E15" s="232"/>
      <c r="F15" s="61">
        <v>1</v>
      </c>
      <c r="G15" s="231" t="s">
        <v>166</v>
      </c>
      <c r="H15" s="232"/>
      <c r="I15" s="61">
        <v>0.5</v>
      </c>
      <c r="J15" s="241" t="s">
        <v>166</v>
      </c>
      <c r="K15" s="232"/>
      <c r="L15" s="61">
        <v>0.5</v>
      </c>
      <c r="M15" s="241" t="s">
        <v>166</v>
      </c>
      <c r="N15" s="232"/>
      <c r="O15" s="61">
        <v>0.5</v>
      </c>
      <c r="P15" s="231"/>
      <c r="Q15" s="232"/>
      <c r="R15" s="61"/>
      <c r="S15" s="95"/>
    </row>
    <row r="16" spans="2:20">
      <c r="B16" s="150"/>
      <c r="C16" s="139"/>
      <c r="D16" s="233" t="s">
        <v>478</v>
      </c>
      <c r="E16" s="234"/>
      <c r="F16" s="62">
        <v>0.1</v>
      </c>
      <c r="G16" s="233" t="s">
        <v>230</v>
      </c>
      <c r="H16" s="234"/>
      <c r="I16" s="62">
        <v>0.15</v>
      </c>
      <c r="J16" s="183" t="s">
        <v>231</v>
      </c>
      <c r="K16" s="234"/>
      <c r="L16" s="62">
        <v>0.15</v>
      </c>
      <c r="M16" s="183" t="s">
        <v>232</v>
      </c>
      <c r="N16" s="234"/>
      <c r="O16" s="62">
        <v>0.15</v>
      </c>
      <c r="P16" s="183"/>
      <c r="Q16" s="234"/>
      <c r="R16" s="62"/>
      <c r="S16" s="95"/>
    </row>
    <row r="17" spans="2:19">
      <c r="B17" s="150"/>
      <c r="C17" s="139"/>
      <c r="D17" s="226" t="s">
        <v>479</v>
      </c>
      <c r="E17" s="227"/>
      <c r="F17" s="94">
        <v>1.4</v>
      </c>
      <c r="G17" s="226" t="s">
        <v>480</v>
      </c>
      <c r="H17" s="227"/>
      <c r="I17" s="94">
        <v>1.85</v>
      </c>
      <c r="J17" s="226" t="s">
        <v>480</v>
      </c>
      <c r="K17" s="227"/>
      <c r="L17" s="94">
        <v>2.35</v>
      </c>
      <c r="M17" s="226" t="s">
        <v>481</v>
      </c>
      <c r="N17" s="227"/>
      <c r="O17" s="94">
        <v>2.1</v>
      </c>
      <c r="P17" s="226"/>
      <c r="Q17" s="227"/>
      <c r="R17" s="94"/>
      <c r="S17" s="95"/>
    </row>
    <row r="18" spans="2:19">
      <c r="B18" s="150"/>
      <c r="C18" s="139"/>
      <c r="D18" s="226" t="s">
        <v>480</v>
      </c>
      <c r="E18" s="227"/>
      <c r="F18" s="94">
        <v>0.5</v>
      </c>
      <c r="G18" s="226" t="s">
        <v>482</v>
      </c>
      <c r="H18" s="227"/>
      <c r="I18" s="94">
        <v>0.5</v>
      </c>
      <c r="J18" s="226"/>
      <c r="K18" s="227"/>
      <c r="L18" s="94"/>
      <c r="M18" s="226"/>
      <c r="N18" s="227"/>
      <c r="O18" s="94"/>
      <c r="P18" s="226"/>
      <c r="Q18" s="227"/>
      <c r="R18" s="94"/>
      <c r="S18" s="8"/>
    </row>
    <row r="19" spans="2:19" ht="19.5" thickBot="1">
      <c r="B19" s="150"/>
      <c r="C19" s="140"/>
      <c r="D19" s="229"/>
      <c r="E19" s="230"/>
      <c r="F19" s="68"/>
      <c r="G19" s="229"/>
      <c r="H19" s="230"/>
      <c r="I19" s="68"/>
      <c r="J19" s="229"/>
      <c r="K19" s="230"/>
      <c r="L19" s="68"/>
      <c r="M19" s="239" t="s">
        <v>239</v>
      </c>
      <c r="N19" s="240"/>
      <c r="O19" s="93">
        <v>0.25</v>
      </c>
      <c r="P19" s="313"/>
      <c r="Q19" s="230"/>
      <c r="R19" s="68"/>
      <c r="S19" s="96"/>
    </row>
    <row r="20" spans="2:19" ht="18.75" customHeight="1">
      <c r="B20" s="150"/>
      <c r="C20" s="138" t="s">
        <v>20</v>
      </c>
      <c r="D20" s="226" t="s">
        <v>483</v>
      </c>
      <c r="E20" s="227"/>
      <c r="F20" s="94">
        <v>2.5</v>
      </c>
      <c r="G20" s="226" t="s">
        <v>484</v>
      </c>
      <c r="H20" s="227"/>
      <c r="I20" s="94">
        <v>0.5</v>
      </c>
      <c r="J20" s="226" t="s">
        <v>485</v>
      </c>
      <c r="K20" s="227"/>
      <c r="L20" s="94">
        <v>2</v>
      </c>
      <c r="M20" s="226" t="s">
        <v>485</v>
      </c>
      <c r="N20" s="227"/>
      <c r="O20" s="94">
        <v>2.5</v>
      </c>
      <c r="P20" s="241" t="s">
        <v>166</v>
      </c>
      <c r="Q20" s="232"/>
      <c r="R20" s="61">
        <v>0.5</v>
      </c>
      <c r="S20" s="11"/>
    </row>
    <row r="21" spans="2:19" ht="18.75" customHeight="1">
      <c r="B21" s="150"/>
      <c r="C21" s="139"/>
      <c r="D21" s="226" t="s">
        <v>487</v>
      </c>
      <c r="E21" s="227"/>
      <c r="F21" s="94">
        <v>1</v>
      </c>
      <c r="G21" s="226" t="s">
        <v>488</v>
      </c>
      <c r="H21" s="227"/>
      <c r="I21" s="94">
        <v>1</v>
      </c>
      <c r="J21" s="226" t="s">
        <v>489</v>
      </c>
      <c r="K21" s="227"/>
      <c r="L21" s="94">
        <v>1</v>
      </c>
      <c r="M21" s="226" t="s">
        <v>489</v>
      </c>
      <c r="N21" s="227"/>
      <c r="O21" s="94">
        <v>1</v>
      </c>
      <c r="P21" s="226" t="s">
        <v>486</v>
      </c>
      <c r="Q21" s="227"/>
      <c r="R21" s="94">
        <v>2</v>
      </c>
      <c r="S21" s="11"/>
    </row>
    <row r="22" spans="2:19" ht="18.75" customHeight="1">
      <c r="B22" s="150"/>
      <c r="C22" s="139"/>
      <c r="D22" s="183" t="s">
        <v>491</v>
      </c>
      <c r="E22" s="184"/>
      <c r="F22" s="94">
        <v>0.5</v>
      </c>
      <c r="G22" s="183" t="s">
        <v>491</v>
      </c>
      <c r="H22" s="184"/>
      <c r="I22" s="94">
        <v>0.5</v>
      </c>
      <c r="J22" s="183" t="s">
        <v>491</v>
      </c>
      <c r="K22" s="184"/>
      <c r="L22" s="94">
        <v>0.5</v>
      </c>
      <c r="M22" s="183" t="s">
        <v>491</v>
      </c>
      <c r="N22" s="184"/>
      <c r="O22" s="94">
        <v>0.5</v>
      </c>
      <c r="P22" s="226" t="s">
        <v>490</v>
      </c>
      <c r="Q22" s="227"/>
      <c r="R22" s="94">
        <v>1</v>
      </c>
      <c r="S22" s="96"/>
    </row>
    <row r="23" spans="2:19" ht="18.75" customHeight="1">
      <c r="B23" s="150"/>
      <c r="C23" s="139"/>
      <c r="D23" s="183"/>
      <c r="E23" s="184"/>
      <c r="F23" s="94"/>
      <c r="G23" s="183" t="s">
        <v>492</v>
      </c>
      <c r="H23" s="184"/>
      <c r="I23" s="94">
        <v>2</v>
      </c>
      <c r="J23" s="183" t="s">
        <v>493</v>
      </c>
      <c r="K23" s="234"/>
      <c r="L23" s="66">
        <v>0.5</v>
      </c>
      <c r="M23" s="183"/>
      <c r="N23" s="184"/>
      <c r="O23" s="94"/>
      <c r="P23" s="183" t="s">
        <v>491</v>
      </c>
      <c r="Q23" s="184"/>
      <c r="R23" s="94">
        <v>0.5</v>
      </c>
      <c r="S23" s="96"/>
    </row>
    <row r="24" spans="2:19" ht="19.5" customHeight="1" thickBot="1">
      <c r="B24" s="150"/>
      <c r="C24" s="140"/>
      <c r="D24" s="178" t="s">
        <v>174</v>
      </c>
      <c r="E24" s="228"/>
      <c r="F24" s="60">
        <v>0.75</v>
      </c>
      <c r="G24" s="297" t="s">
        <v>174</v>
      </c>
      <c r="H24" s="228"/>
      <c r="I24" s="60">
        <v>0.75</v>
      </c>
      <c r="J24" s="298" t="s">
        <v>174</v>
      </c>
      <c r="K24" s="299"/>
      <c r="L24" s="93">
        <v>0.75</v>
      </c>
      <c r="M24" s="297" t="s">
        <v>174</v>
      </c>
      <c r="N24" s="228"/>
      <c r="O24" s="60">
        <v>0.75</v>
      </c>
      <c r="P24" s="297" t="s">
        <v>174</v>
      </c>
      <c r="Q24" s="228"/>
      <c r="R24" s="60">
        <v>0.75</v>
      </c>
    </row>
    <row r="25" spans="2:19" ht="19.5" thickBot="1">
      <c r="B25" s="151"/>
      <c r="C25" s="18" t="s">
        <v>76</v>
      </c>
      <c r="D25" s="17"/>
      <c r="E25" s="17"/>
      <c r="F25" s="18">
        <f>SUM(F15:F24)</f>
        <v>7.75</v>
      </c>
      <c r="G25" s="17"/>
      <c r="H25" s="17"/>
      <c r="I25" s="18">
        <f>SUM(I15:I24)</f>
        <v>7.75</v>
      </c>
      <c r="J25" s="17"/>
      <c r="K25" s="17"/>
      <c r="L25" s="18">
        <f>SUM(L15:L24)</f>
        <v>7.75</v>
      </c>
      <c r="M25" s="17"/>
      <c r="N25" s="17"/>
      <c r="O25" s="18">
        <f>SUM(O15:O24)</f>
        <v>7.75</v>
      </c>
      <c r="P25" s="17"/>
      <c r="Q25" s="17"/>
      <c r="R25" s="18">
        <f>SUM(R15:R24)</f>
        <v>4.75</v>
      </c>
    </row>
    <row r="26" spans="2:19" ht="18.75" customHeight="1">
      <c r="B26" s="149" t="s">
        <v>65</v>
      </c>
      <c r="C26" s="138" t="s">
        <v>9</v>
      </c>
      <c r="D26" s="152" t="s">
        <v>471</v>
      </c>
      <c r="E26" s="153"/>
      <c r="F26" s="6" t="s">
        <v>36</v>
      </c>
      <c r="G26" s="154" t="s">
        <v>494</v>
      </c>
      <c r="H26" s="155"/>
      <c r="I26" s="6">
        <v>2</v>
      </c>
      <c r="J26" s="154" t="s">
        <v>474</v>
      </c>
      <c r="K26" s="155"/>
      <c r="L26" s="6">
        <v>3</v>
      </c>
      <c r="M26" s="154" t="s">
        <v>474</v>
      </c>
      <c r="N26" s="155"/>
      <c r="O26" s="6">
        <v>3</v>
      </c>
      <c r="P26" s="156" t="s">
        <v>37</v>
      </c>
      <c r="Q26" s="153"/>
      <c r="R26" s="6">
        <v>0.25</v>
      </c>
    </row>
    <row r="27" spans="2:19" ht="18.75" customHeight="1">
      <c r="B27" s="150"/>
      <c r="C27" s="139"/>
      <c r="D27" s="157" t="s">
        <v>472</v>
      </c>
      <c r="E27" s="155"/>
      <c r="F27" s="7">
        <v>2</v>
      </c>
      <c r="G27" s="154" t="s">
        <v>472</v>
      </c>
      <c r="H27" s="155"/>
      <c r="I27" s="7">
        <v>2</v>
      </c>
      <c r="J27" s="154" t="s">
        <v>475</v>
      </c>
      <c r="K27" s="155"/>
      <c r="L27" s="7" t="s">
        <v>36</v>
      </c>
      <c r="M27" s="154" t="s">
        <v>475</v>
      </c>
      <c r="N27" s="155"/>
      <c r="O27" s="7" t="s">
        <v>36</v>
      </c>
      <c r="P27" s="154" t="s">
        <v>474</v>
      </c>
      <c r="Q27" s="155"/>
      <c r="R27" s="7">
        <v>2.75</v>
      </c>
    </row>
    <row r="28" spans="2:19" ht="18.75" customHeight="1">
      <c r="B28" s="150"/>
      <c r="C28" s="139"/>
      <c r="D28" s="157" t="s">
        <v>495</v>
      </c>
      <c r="E28" s="155"/>
      <c r="F28" s="7">
        <v>0.5</v>
      </c>
      <c r="G28" s="154"/>
      <c r="H28" s="155"/>
      <c r="I28" s="7"/>
      <c r="J28" s="154"/>
      <c r="K28" s="155"/>
      <c r="L28" s="7"/>
      <c r="M28" s="154"/>
      <c r="N28" s="155"/>
      <c r="O28" s="7"/>
      <c r="P28" s="154" t="s">
        <v>475</v>
      </c>
      <c r="Q28" s="155"/>
      <c r="R28" s="7" t="s">
        <v>36</v>
      </c>
    </row>
    <row r="29" spans="2:19" ht="18.75" customHeight="1">
      <c r="B29" s="150"/>
      <c r="C29" s="139"/>
      <c r="D29" s="157"/>
      <c r="E29" s="155"/>
      <c r="F29" s="7"/>
      <c r="G29" s="154"/>
      <c r="H29" s="155"/>
      <c r="I29" s="12"/>
      <c r="J29" s="154"/>
      <c r="K29" s="155"/>
      <c r="L29" s="12"/>
      <c r="M29" s="154"/>
      <c r="N29" s="155"/>
      <c r="O29" s="12"/>
      <c r="P29" s="154"/>
      <c r="Q29" s="155"/>
      <c r="R29" s="12"/>
    </row>
    <row r="30" spans="2:19" ht="19.5" customHeight="1" thickBot="1">
      <c r="B30" s="150"/>
      <c r="C30" s="140"/>
      <c r="D30" s="158"/>
      <c r="E30" s="159"/>
      <c r="F30" s="9"/>
      <c r="G30" s="161"/>
      <c r="H30" s="159"/>
      <c r="I30" s="9"/>
      <c r="J30" s="161"/>
      <c r="K30" s="159"/>
      <c r="L30" s="9"/>
      <c r="M30" s="161"/>
      <c r="N30" s="159"/>
      <c r="O30" s="9"/>
      <c r="P30" s="161"/>
      <c r="Q30" s="159"/>
      <c r="R30" s="9"/>
    </row>
    <row r="31" spans="2:19" ht="18.75" customHeight="1">
      <c r="B31" s="150"/>
      <c r="C31" s="138" t="s">
        <v>20</v>
      </c>
      <c r="D31" s="152" t="s">
        <v>496</v>
      </c>
      <c r="E31" s="153"/>
      <c r="F31" s="6">
        <v>2</v>
      </c>
      <c r="G31" s="154" t="s">
        <v>496</v>
      </c>
      <c r="H31" s="155"/>
      <c r="I31" s="7">
        <v>2</v>
      </c>
      <c r="J31" s="154" t="s">
        <v>37</v>
      </c>
      <c r="K31" s="155"/>
      <c r="L31" s="7">
        <v>0.5</v>
      </c>
      <c r="M31" s="154" t="s">
        <v>474</v>
      </c>
      <c r="N31" s="155"/>
      <c r="O31" s="7">
        <v>4</v>
      </c>
      <c r="P31" s="154" t="s">
        <v>474</v>
      </c>
      <c r="Q31" s="155"/>
      <c r="R31" s="7">
        <v>4</v>
      </c>
    </row>
    <row r="32" spans="2:19" ht="18.75" customHeight="1">
      <c r="B32" s="150"/>
      <c r="C32" s="139"/>
      <c r="D32" s="157" t="s">
        <v>497</v>
      </c>
      <c r="E32" s="155"/>
      <c r="F32" s="7">
        <v>1.5</v>
      </c>
      <c r="G32" s="154" t="s">
        <v>498</v>
      </c>
      <c r="H32" s="155"/>
      <c r="I32" s="7">
        <v>1</v>
      </c>
      <c r="J32" s="154" t="s">
        <v>474</v>
      </c>
      <c r="K32" s="155"/>
      <c r="L32" s="7">
        <v>3.5</v>
      </c>
      <c r="M32" s="154"/>
      <c r="N32" s="155"/>
      <c r="O32" s="7"/>
      <c r="P32" s="154"/>
      <c r="Q32" s="155"/>
      <c r="R32" s="7"/>
    </row>
    <row r="33" spans="2:18" ht="18.75" customHeight="1">
      <c r="B33" s="150"/>
      <c r="C33" s="139"/>
      <c r="D33" s="157" t="s">
        <v>499</v>
      </c>
      <c r="E33" s="155"/>
      <c r="F33" s="7">
        <v>1</v>
      </c>
      <c r="G33" s="154"/>
      <c r="H33" s="155"/>
      <c r="I33" s="7"/>
      <c r="J33" s="154"/>
      <c r="K33" s="155"/>
      <c r="L33" s="7"/>
      <c r="M33" s="154"/>
      <c r="N33" s="155"/>
      <c r="O33" s="7"/>
      <c r="P33" s="154"/>
      <c r="Q33" s="155"/>
      <c r="R33" s="7"/>
    </row>
    <row r="34" spans="2:18" ht="18.75" customHeight="1">
      <c r="B34" s="150"/>
      <c r="C34" s="139"/>
      <c r="D34" s="157"/>
      <c r="E34" s="155"/>
      <c r="F34" s="7"/>
      <c r="G34" s="154"/>
      <c r="H34" s="155"/>
      <c r="I34" s="7"/>
      <c r="J34" s="154"/>
      <c r="K34" s="155"/>
      <c r="L34" s="7"/>
      <c r="M34" s="154"/>
      <c r="N34" s="155"/>
      <c r="O34" s="7"/>
      <c r="P34" s="154"/>
      <c r="Q34" s="155"/>
      <c r="R34" s="7"/>
    </row>
    <row r="35" spans="2:18" ht="19.5" customHeight="1" thickBot="1">
      <c r="B35" s="150"/>
      <c r="C35" s="140"/>
      <c r="D35" s="157"/>
      <c r="E35" s="155"/>
      <c r="F35" s="7"/>
      <c r="G35" s="161"/>
      <c r="H35" s="159"/>
      <c r="I35" s="9"/>
      <c r="J35" s="161"/>
      <c r="K35" s="159"/>
      <c r="L35" s="9"/>
      <c r="M35" s="161"/>
      <c r="N35" s="159"/>
      <c r="O35" s="9"/>
      <c r="P35" s="161"/>
      <c r="Q35" s="159"/>
      <c r="R35" s="9"/>
    </row>
    <row r="36" spans="2:18" ht="19.5" thickBot="1">
      <c r="B36" s="151"/>
      <c r="C36" s="18" t="s">
        <v>76</v>
      </c>
      <c r="D36" s="17"/>
      <c r="E36" s="17"/>
      <c r="F36" s="18">
        <f>SUM(F26:F35)</f>
        <v>7</v>
      </c>
      <c r="G36" s="17"/>
      <c r="H36" s="17"/>
      <c r="I36" s="18">
        <f>SUM(I26:I35)</f>
        <v>7</v>
      </c>
      <c r="J36" s="17"/>
      <c r="K36" s="17"/>
      <c r="L36" s="18">
        <f>SUM(L26:L35)</f>
        <v>7</v>
      </c>
      <c r="M36" s="17"/>
      <c r="N36" s="17"/>
      <c r="O36" s="18">
        <f>SUM(O26:O35)</f>
        <v>7</v>
      </c>
      <c r="P36" s="17"/>
      <c r="Q36" s="17"/>
      <c r="R36" s="18">
        <f>SUM(R26:R35)</f>
        <v>7</v>
      </c>
    </row>
    <row r="38" spans="2:18">
      <c r="B38" s="294" t="s">
        <v>182</v>
      </c>
      <c r="C38" s="295"/>
      <c r="D38" s="103" t="s">
        <v>183</v>
      </c>
      <c r="F38" s="296" t="s">
        <v>184</v>
      </c>
      <c r="G38" s="296"/>
    </row>
  </sheetData>
  <mergeCells count="186"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  <mergeCell ref="B4:B14"/>
    <mergeCell ref="C4:C8"/>
    <mergeCell ref="D4:E4"/>
    <mergeCell ref="G4:H4"/>
    <mergeCell ref="J4:K4"/>
    <mergeCell ref="M4:N4"/>
    <mergeCell ref="P4:Q4"/>
    <mergeCell ref="D6:E6"/>
    <mergeCell ref="K2:K3"/>
    <mergeCell ref="L2:L3"/>
    <mergeCell ref="M2:M3"/>
    <mergeCell ref="N2:N3"/>
    <mergeCell ref="O2:O3"/>
    <mergeCell ref="P2:P3"/>
    <mergeCell ref="D8:E8"/>
    <mergeCell ref="G8:H8"/>
    <mergeCell ref="J8:K8"/>
    <mergeCell ref="M8:N8"/>
    <mergeCell ref="P8:Q8"/>
    <mergeCell ref="P10:Q10"/>
    <mergeCell ref="D11:E11"/>
    <mergeCell ref="G11:H11"/>
    <mergeCell ref="J11:K11"/>
    <mergeCell ref="M11:N11"/>
    <mergeCell ref="S4:T4"/>
    <mergeCell ref="D5:E5"/>
    <mergeCell ref="G5:H5"/>
    <mergeCell ref="J5:K5"/>
    <mergeCell ref="M5:N5"/>
    <mergeCell ref="P5:Q5"/>
    <mergeCell ref="S5:T5"/>
    <mergeCell ref="Q2:Q3"/>
    <mergeCell ref="R2:R3"/>
    <mergeCell ref="S8:T8"/>
    <mergeCell ref="G6:H6"/>
    <mergeCell ref="J6:K6"/>
    <mergeCell ref="M6:N6"/>
    <mergeCell ref="P6:Q6"/>
    <mergeCell ref="S6:T6"/>
    <mergeCell ref="D7:E7"/>
    <mergeCell ref="G7:H7"/>
    <mergeCell ref="J7:K7"/>
    <mergeCell ref="M7:N7"/>
    <mergeCell ref="P7:Q7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3:E13"/>
    <mergeCell ref="G13:H13"/>
    <mergeCell ref="J13:K13"/>
    <mergeCell ref="M13:N13"/>
    <mergeCell ref="P13:Q13"/>
    <mergeCell ref="S13:T13"/>
    <mergeCell ref="S11:T11"/>
    <mergeCell ref="D12:E12"/>
    <mergeCell ref="G12:H12"/>
    <mergeCell ref="J12:K12"/>
    <mergeCell ref="M12:N12"/>
    <mergeCell ref="P12:Q12"/>
    <mergeCell ref="S12:T12"/>
    <mergeCell ref="P15:Q15"/>
    <mergeCell ref="P11:Q11"/>
    <mergeCell ref="D16:E16"/>
    <mergeCell ref="G16:H16"/>
    <mergeCell ref="J16:K16"/>
    <mergeCell ref="M16:N16"/>
    <mergeCell ref="P16:Q16"/>
    <mergeCell ref="B15:B25"/>
    <mergeCell ref="C15:C19"/>
    <mergeCell ref="D15:E15"/>
    <mergeCell ref="G15:H15"/>
    <mergeCell ref="J15:K15"/>
    <mergeCell ref="M15:N15"/>
    <mergeCell ref="D17:E17"/>
    <mergeCell ref="G17:H17"/>
    <mergeCell ref="J17:K17"/>
    <mergeCell ref="M17:N17"/>
    <mergeCell ref="C20:C24"/>
    <mergeCell ref="D20:E20"/>
    <mergeCell ref="G20:H20"/>
    <mergeCell ref="J20:K20"/>
    <mergeCell ref="M20:N20"/>
    <mergeCell ref="P17:Q17"/>
    <mergeCell ref="D18:E18"/>
    <mergeCell ref="G18:H18"/>
    <mergeCell ref="J18:K18"/>
    <mergeCell ref="M18:N18"/>
    <mergeCell ref="P18:Q18"/>
    <mergeCell ref="P21:Q21"/>
    <mergeCell ref="D21:E21"/>
    <mergeCell ref="G21:H21"/>
    <mergeCell ref="J21:K21"/>
    <mergeCell ref="M21:N21"/>
    <mergeCell ref="P22:Q22"/>
    <mergeCell ref="D19:E19"/>
    <mergeCell ref="G19:H19"/>
    <mergeCell ref="J19:K19"/>
    <mergeCell ref="M19:N19"/>
    <mergeCell ref="P19:Q19"/>
    <mergeCell ref="D22:E22"/>
    <mergeCell ref="G22:H22"/>
    <mergeCell ref="J22:K22"/>
    <mergeCell ref="M22:N22"/>
    <mergeCell ref="P23:Q23"/>
    <mergeCell ref="D23:E23"/>
    <mergeCell ref="G23:H23"/>
    <mergeCell ref="J23:K23"/>
    <mergeCell ref="M23:N23"/>
    <mergeCell ref="P20:Q20"/>
    <mergeCell ref="M26:N26"/>
    <mergeCell ref="P26:Q26"/>
    <mergeCell ref="D27:E27"/>
    <mergeCell ref="G27:H27"/>
    <mergeCell ref="J27:K27"/>
    <mergeCell ref="M27:N27"/>
    <mergeCell ref="P27:Q27"/>
    <mergeCell ref="D24:E24"/>
    <mergeCell ref="G24:H24"/>
    <mergeCell ref="J24:K24"/>
    <mergeCell ref="M24:N24"/>
    <mergeCell ref="P24:Q24"/>
    <mergeCell ref="D26:E26"/>
    <mergeCell ref="G26:H26"/>
    <mergeCell ref="J26:K26"/>
    <mergeCell ref="D28:E28"/>
    <mergeCell ref="G28:H28"/>
    <mergeCell ref="J28:K28"/>
    <mergeCell ref="M28:N28"/>
    <mergeCell ref="P28:Q28"/>
    <mergeCell ref="D29:E29"/>
    <mergeCell ref="G29:H29"/>
    <mergeCell ref="J29:K29"/>
    <mergeCell ref="M29:N29"/>
    <mergeCell ref="P29:Q29"/>
    <mergeCell ref="M32:N32"/>
    <mergeCell ref="P32:Q32"/>
    <mergeCell ref="D30:E30"/>
    <mergeCell ref="G30:H30"/>
    <mergeCell ref="J30:K30"/>
    <mergeCell ref="M30:N30"/>
    <mergeCell ref="P30:Q30"/>
    <mergeCell ref="D31:E31"/>
    <mergeCell ref="G31:H31"/>
    <mergeCell ref="J31:K31"/>
    <mergeCell ref="M31:N31"/>
    <mergeCell ref="D35:E35"/>
    <mergeCell ref="G35:H35"/>
    <mergeCell ref="J35:K35"/>
    <mergeCell ref="M35:N35"/>
    <mergeCell ref="P35:Q35"/>
    <mergeCell ref="B38:C38"/>
    <mergeCell ref="F38:G38"/>
    <mergeCell ref="D33:E33"/>
    <mergeCell ref="G33:H33"/>
    <mergeCell ref="J33:K33"/>
    <mergeCell ref="M33:N33"/>
    <mergeCell ref="P33:Q33"/>
    <mergeCell ref="D34:E34"/>
    <mergeCell ref="G34:H34"/>
    <mergeCell ref="J34:K34"/>
    <mergeCell ref="M34:N34"/>
    <mergeCell ref="P34:Q34"/>
    <mergeCell ref="C31:C35"/>
    <mergeCell ref="B26:B36"/>
    <mergeCell ref="C26:C30"/>
    <mergeCell ref="P31:Q31"/>
    <mergeCell ref="D32:E32"/>
    <mergeCell ref="G32:H32"/>
    <mergeCell ref="J32:K32"/>
  </mergeCells>
  <phoneticPr fontId="1"/>
  <pageMargins left="0.7" right="0.7" top="0.75" bottom="0.75" header="0.3" footer="0.3"/>
  <pageSetup paperSize="8" scale="67" orientation="landscape" horizontalDpi="1200" verticalDpi="1200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9478C-D242-4608-8932-95012AC2F127}">
  <sheetPr codeName="Sheet25"/>
  <dimension ref="B1:T49"/>
  <sheetViews>
    <sheetView view="pageBreakPreview" zoomScale="85" zoomScaleNormal="100" zoomScaleSheetLayoutView="85" workbookViewId="0">
      <selection activeCell="B37" sqref="B37:B47"/>
    </sheetView>
  </sheetViews>
  <sheetFormatPr defaultRowHeight="18.75"/>
  <cols>
    <col min="1" max="1" width="2.5" customWidth="1"/>
    <col min="4" max="18" width="16" customWidth="1"/>
  </cols>
  <sheetData>
    <row r="1" spans="2:20" ht="24.75" thickBot="1">
      <c r="D1" s="53">
        <v>45565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20" s="5" customFormat="1">
      <c r="B2" s="201"/>
      <c r="C2" s="202"/>
      <c r="D2" s="205">
        <f>D1</f>
        <v>45565</v>
      </c>
      <c r="E2" s="195" t="s">
        <v>3</v>
      </c>
      <c r="F2" s="191" t="s">
        <v>4</v>
      </c>
      <c r="G2" s="197">
        <f>D2+1</f>
        <v>45566</v>
      </c>
      <c r="H2" s="195" t="s">
        <v>5</v>
      </c>
      <c r="I2" s="191" t="s">
        <v>4</v>
      </c>
      <c r="J2" s="197">
        <f>G2+1</f>
        <v>45567</v>
      </c>
      <c r="K2" s="195" t="s">
        <v>6</v>
      </c>
      <c r="L2" s="191" t="s">
        <v>4</v>
      </c>
      <c r="M2" s="197">
        <f>J2+1</f>
        <v>45568</v>
      </c>
      <c r="N2" s="195" t="s">
        <v>7</v>
      </c>
      <c r="O2" s="191" t="s">
        <v>4</v>
      </c>
      <c r="P2" s="197">
        <f>M2+1</f>
        <v>45569</v>
      </c>
      <c r="Q2" s="195" t="s">
        <v>8</v>
      </c>
      <c r="R2" s="191" t="s">
        <v>4</v>
      </c>
    </row>
    <row r="3" spans="2:20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20" ht="18.75" customHeight="1">
      <c r="B4" s="303" t="s">
        <v>31</v>
      </c>
      <c r="C4" s="138" t="s">
        <v>9</v>
      </c>
      <c r="D4" s="264" t="s">
        <v>67</v>
      </c>
      <c r="E4" s="153"/>
      <c r="F4" s="6">
        <v>0.5</v>
      </c>
      <c r="G4" s="264" t="s">
        <v>67</v>
      </c>
      <c r="H4" s="153"/>
      <c r="I4" s="6">
        <v>0.5</v>
      </c>
      <c r="J4" s="264" t="s">
        <v>67</v>
      </c>
      <c r="K4" s="153"/>
      <c r="L4" s="6">
        <v>0.5</v>
      </c>
      <c r="M4" s="264" t="s">
        <v>67</v>
      </c>
      <c r="N4" s="153"/>
      <c r="O4" s="6">
        <v>0.5</v>
      </c>
      <c r="P4" s="264" t="s">
        <v>67</v>
      </c>
      <c r="Q4" s="153"/>
      <c r="R4" s="6">
        <v>0.5</v>
      </c>
      <c r="S4" s="211"/>
      <c r="T4" s="211"/>
    </row>
    <row r="5" spans="2:20" ht="18.75" customHeight="1">
      <c r="B5" s="304"/>
      <c r="C5" s="139"/>
      <c r="D5" s="157" t="s">
        <v>71</v>
      </c>
      <c r="E5" s="155"/>
      <c r="F5" s="7">
        <v>0.1</v>
      </c>
      <c r="G5" s="157" t="s">
        <v>71</v>
      </c>
      <c r="H5" s="155"/>
      <c r="I5" s="7">
        <v>0.1</v>
      </c>
      <c r="J5" s="157" t="s">
        <v>71</v>
      </c>
      <c r="K5" s="155"/>
      <c r="L5" s="7">
        <v>0.1</v>
      </c>
      <c r="M5" s="157" t="s">
        <v>71</v>
      </c>
      <c r="N5" s="155"/>
      <c r="O5" s="7">
        <v>0.1</v>
      </c>
      <c r="P5" s="157" t="s">
        <v>71</v>
      </c>
      <c r="Q5" s="155"/>
      <c r="R5" s="7">
        <v>0.1</v>
      </c>
      <c r="S5" s="211"/>
      <c r="T5" s="211"/>
    </row>
    <row r="6" spans="2:20" ht="18.75" customHeight="1">
      <c r="B6" s="304"/>
      <c r="C6" s="139"/>
      <c r="D6" s="226" t="s">
        <v>465</v>
      </c>
      <c r="E6" s="227"/>
      <c r="F6" s="7">
        <v>0.5</v>
      </c>
      <c r="G6" s="226" t="s">
        <v>470</v>
      </c>
      <c r="H6" s="227"/>
      <c r="I6" s="16">
        <v>1</v>
      </c>
      <c r="J6" s="154" t="s">
        <v>401</v>
      </c>
      <c r="K6" s="155"/>
      <c r="L6" s="16">
        <v>1</v>
      </c>
      <c r="M6" s="226" t="s">
        <v>466</v>
      </c>
      <c r="N6" s="227"/>
      <c r="O6" s="7">
        <v>3.4</v>
      </c>
      <c r="P6" s="154" t="s">
        <v>469</v>
      </c>
      <c r="Q6" s="155"/>
      <c r="R6" s="7">
        <v>3.4</v>
      </c>
      <c r="S6" s="212"/>
      <c r="T6" s="212"/>
    </row>
    <row r="7" spans="2:20" ht="18.75" customHeight="1">
      <c r="B7" s="304"/>
      <c r="C7" s="139"/>
      <c r="D7" s="226" t="s">
        <v>461</v>
      </c>
      <c r="E7" s="227"/>
      <c r="F7" s="7">
        <v>0.1</v>
      </c>
      <c r="G7" s="226" t="s">
        <v>466</v>
      </c>
      <c r="H7" s="227"/>
      <c r="I7" s="7">
        <v>2.4</v>
      </c>
      <c r="J7" s="226" t="s">
        <v>466</v>
      </c>
      <c r="K7" s="227"/>
      <c r="L7" s="7">
        <v>2.4</v>
      </c>
      <c r="M7" s="154"/>
      <c r="N7" s="155"/>
      <c r="O7" s="16"/>
      <c r="P7" s="154"/>
      <c r="Q7" s="155"/>
      <c r="R7" s="7"/>
      <c r="S7" s="8"/>
      <c r="T7" s="8"/>
    </row>
    <row r="8" spans="2:20" ht="19.5" customHeight="1" thickBot="1">
      <c r="B8" s="304"/>
      <c r="C8" s="140"/>
      <c r="D8" s="336" t="s">
        <v>462</v>
      </c>
      <c r="E8" s="337"/>
      <c r="F8" s="90">
        <v>0.1</v>
      </c>
      <c r="G8" s="160"/>
      <c r="H8" s="159"/>
      <c r="I8" s="9"/>
      <c r="J8" s="160"/>
      <c r="K8" s="159"/>
      <c r="L8" s="9"/>
      <c r="M8" s="160"/>
      <c r="N8" s="159"/>
      <c r="O8" s="9"/>
      <c r="P8" s="161"/>
      <c r="Q8" s="159"/>
      <c r="R8" s="9"/>
      <c r="S8" s="214"/>
      <c r="T8" s="214"/>
    </row>
    <row r="9" spans="2:20" ht="18.75" customHeight="1">
      <c r="B9" s="304"/>
      <c r="C9" s="138" t="s">
        <v>20</v>
      </c>
      <c r="D9" s="156" t="s">
        <v>467</v>
      </c>
      <c r="E9" s="153"/>
      <c r="F9" s="92">
        <v>0.5</v>
      </c>
      <c r="G9" s="226" t="s">
        <v>466</v>
      </c>
      <c r="H9" s="227"/>
      <c r="I9" s="7">
        <v>3.5</v>
      </c>
      <c r="J9" s="226" t="s">
        <v>466</v>
      </c>
      <c r="K9" s="227"/>
      <c r="L9" s="7">
        <v>3.5</v>
      </c>
      <c r="M9" s="226" t="s">
        <v>466</v>
      </c>
      <c r="N9" s="227"/>
      <c r="O9" s="7">
        <v>1.75</v>
      </c>
      <c r="P9" s="226" t="s">
        <v>468</v>
      </c>
      <c r="Q9" s="227"/>
      <c r="R9" s="16">
        <v>1</v>
      </c>
      <c r="S9" s="11"/>
      <c r="T9" s="11"/>
    </row>
    <row r="10" spans="2:20" ht="18.75" customHeight="1">
      <c r="B10" s="304"/>
      <c r="C10" s="139"/>
      <c r="D10" s="267" t="s">
        <v>463</v>
      </c>
      <c r="E10" s="268"/>
      <c r="F10" s="91">
        <v>1</v>
      </c>
      <c r="G10" s="154"/>
      <c r="H10" s="155"/>
      <c r="I10" s="16"/>
      <c r="J10" s="154"/>
      <c r="K10" s="155"/>
      <c r="L10" s="16"/>
      <c r="M10" s="154"/>
      <c r="N10" s="155"/>
      <c r="O10" s="16"/>
      <c r="P10" s="226" t="s">
        <v>466</v>
      </c>
      <c r="Q10" s="227"/>
      <c r="R10" s="7">
        <v>2.5</v>
      </c>
      <c r="S10" s="11"/>
      <c r="T10" s="11"/>
    </row>
    <row r="11" spans="2:20" ht="18.75" customHeight="1">
      <c r="B11" s="304"/>
      <c r="C11" s="139"/>
      <c r="D11" s="154" t="s">
        <v>464</v>
      </c>
      <c r="E11" s="155"/>
      <c r="F11" s="7">
        <v>4.45</v>
      </c>
      <c r="G11" s="154"/>
      <c r="H11" s="155"/>
      <c r="I11" s="16"/>
      <c r="J11" s="154"/>
      <c r="K11" s="155"/>
      <c r="L11" s="16"/>
      <c r="M11" s="154"/>
      <c r="N11" s="155"/>
      <c r="O11" s="16"/>
      <c r="P11" s="154"/>
      <c r="Q11" s="155"/>
      <c r="R11" s="7"/>
      <c r="S11" s="215"/>
      <c r="T11" s="215"/>
    </row>
    <row r="12" spans="2:20" ht="18.75" customHeight="1">
      <c r="B12" s="304"/>
      <c r="C12" s="139"/>
      <c r="D12" s="300" t="s">
        <v>460</v>
      </c>
      <c r="E12" s="155"/>
      <c r="F12" s="7">
        <v>0.25</v>
      </c>
      <c r="G12" s="154"/>
      <c r="H12" s="155"/>
      <c r="I12" s="7"/>
      <c r="J12" s="154"/>
      <c r="K12" s="155"/>
      <c r="L12" s="16"/>
      <c r="M12" s="154" t="s">
        <v>400</v>
      </c>
      <c r="N12" s="155"/>
      <c r="O12" s="7">
        <v>0.5</v>
      </c>
      <c r="P12" s="154"/>
      <c r="Q12" s="155"/>
      <c r="R12" s="7"/>
      <c r="S12" s="214"/>
      <c r="T12" s="214"/>
    </row>
    <row r="13" spans="2:20" ht="19.5" customHeight="1" thickBot="1">
      <c r="B13" s="304"/>
      <c r="C13" s="140"/>
      <c r="D13" s="160" t="s">
        <v>68</v>
      </c>
      <c r="E13" s="159"/>
      <c r="F13" s="9">
        <v>0.25</v>
      </c>
      <c r="G13" s="160" t="s">
        <v>68</v>
      </c>
      <c r="H13" s="159"/>
      <c r="I13" s="9">
        <v>0.25</v>
      </c>
      <c r="J13" s="160" t="s">
        <v>68</v>
      </c>
      <c r="K13" s="159"/>
      <c r="L13" s="9">
        <v>0.25</v>
      </c>
      <c r="M13" s="160" t="s">
        <v>206</v>
      </c>
      <c r="N13" s="159"/>
      <c r="O13" s="9">
        <v>1.5</v>
      </c>
      <c r="P13" s="160" t="s">
        <v>68</v>
      </c>
      <c r="Q13" s="159"/>
      <c r="R13" s="9">
        <v>0.25</v>
      </c>
      <c r="S13" s="215"/>
      <c r="T13" s="215"/>
    </row>
    <row r="14" spans="2:20" ht="19.5" thickBot="1">
      <c r="B14" s="305"/>
      <c r="C14" s="18" t="s">
        <v>76</v>
      </c>
      <c r="D14" s="17"/>
      <c r="E14" s="17"/>
      <c r="F14" s="18">
        <f>SUM(F4:F13)</f>
        <v>7.75</v>
      </c>
      <c r="G14" s="17"/>
      <c r="H14" s="17"/>
      <c r="I14" s="18">
        <f>SUM(I4:I13)</f>
        <v>7.75</v>
      </c>
      <c r="J14" s="17"/>
      <c r="K14" s="17"/>
      <c r="L14" s="18">
        <f>SUM(L4:L13)</f>
        <v>7.75</v>
      </c>
      <c r="M14" s="17"/>
      <c r="N14" s="17"/>
      <c r="O14" s="18">
        <f>SUM(O4:O13)</f>
        <v>7.75</v>
      </c>
      <c r="P14" s="17"/>
      <c r="Q14" s="17"/>
      <c r="R14" s="18">
        <f>SUM(R4:R13)</f>
        <v>7.75</v>
      </c>
    </row>
    <row r="15" spans="2:20" ht="18.75" customHeight="1">
      <c r="B15" s="149" t="s">
        <v>32</v>
      </c>
      <c r="C15" s="138" t="s">
        <v>9</v>
      </c>
      <c r="D15" s="293" t="s">
        <v>166</v>
      </c>
      <c r="E15" s="220"/>
      <c r="F15" s="21">
        <v>0.5</v>
      </c>
      <c r="G15" s="293" t="s">
        <v>166</v>
      </c>
      <c r="H15" s="220"/>
      <c r="I15" s="21">
        <v>0.5</v>
      </c>
      <c r="J15" s="293" t="s">
        <v>166</v>
      </c>
      <c r="K15" s="220"/>
      <c r="L15" s="21">
        <v>0.5</v>
      </c>
      <c r="M15" s="293" t="s">
        <v>166</v>
      </c>
      <c r="N15" s="220"/>
      <c r="O15" s="21">
        <v>0.5</v>
      </c>
      <c r="P15" s="293" t="s">
        <v>166</v>
      </c>
      <c r="Q15" s="220"/>
      <c r="R15" s="21">
        <v>0.5</v>
      </c>
    </row>
    <row r="16" spans="2:20">
      <c r="B16" s="150"/>
      <c r="C16" s="139"/>
      <c r="D16" s="162" t="s">
        <v>230</v>
      </c>
      <c r="E16" s="163"/>
      <c r="F16" s="20">
        <v>0.25</v>
      </c>
      <c r="G16" s="162" t="s">
        <v>230</v>
      </c>
      <c r="H16" s="163"/>
      <c r="I16" s="20">
        <v>0.25</v>
      </c>
      <c r="J16" s="162" t="s">
        <v>231</v>
      </c>
      <c r="K16" s="163"/>
      <c r="L16" s="20">
        <v>0.25</v>
      </c>
      <c r="M16" s="162" t="s">
        <v>232</v>
      </c>
      <c r="N16" s="163"/>
      <c r="O16" s="20">
        <v>0.25</v>
      </c>
      <c r="P16" s="216" t="s">
        <v>233</v>
      </c>
      <c r="Q16" s="163"/>
      <c r="R16" s="20">
        <v>0.25</v>
      </c>
    </row>
    <row r="17" spans="2:18">
      <c r="B17" s="150"/>
      <c r="C17" s="139"/>
      <c r="D17" s="162" t="s">
        <v>442</v>
      </c>
      <c r="E17" s="163"/>
      <c r="F17" s="7">
        <v>0.25</v>
      </c>
      <c r="G17" s="157" t="s">
        <v>443</v>
      </c>
      <c r="H17" s="155"/>
      <c r="I17" s="43">
        <v>2.25</v>
      </c>
      <c r="J17" s="167" t="s">
        <v>444</v>
      </c>
      <c r="K17" s="168"/>
      <c r="L17" s="43">
        <v>2</v>
      </c>
      <c r="M17" s="154" t="s">
        <v>445</v>
      </c>
      <c r="N17" s="155"/>
      <c r="O17" s="43">
        <v>2.25</v>
      </c>
      <c r="P17" s="157" t="s">
        <v>295</v>
      </c>
      <c r="Q17" s="155"/>
      <c r="R17" s="7">
        <v>0.5</v>
      </c>
    </row>
    <row r="18" spans="2:18">
      <c r="B18" s="150"/>
      <c r="C18" s="139"/>
      <c r="D18" s="157" t="s">
        <v>446</v>
      </c>
      <c r="E18" s="155"/>
      <c r="F18" s="43">
        <v>1.75</v>
      </c>
      <c r="G18" s="157"/>
      <c r="H18" s="155"/>
      <c r="I18" s="43"/>
      <c r="J18" s="167"/>
      <c r="K18" s="168"/>
      <c r="L18" s="43"/>
      <c r="M18" s="154"/>
      <c r="N18" s="155"/>
      <c r="O18" s="43"/>
      <c r="P18" s="154" t="s">
        <v>445</v>
      </c>
      <c r="Q18" s="155"/>
      <c r="R18" s="43">
        <v>1.75</v>
      </c>
    </row>
    <row r="19" spans="2:18" ht="19.5" thickBot="1">
      <c r="B19" s="150"/>
      <c r="C19" s="140"/>
      <c r="D19" s="334" t="s">
        <v>447</v>
      </c>
      <c r="E19" s="292"/>
      <c r="F19" s="9">
        <v>0.25</v>
      </c>
      <c r="G19" s="217"/>
      <c r="H19" s="218"/>
      <c r="I19" s="9"/>
      <c r="J19" s="217"/>
      <c r="K19" s="218"/>
      <c r="L19" s="9"/>
      <c r="M19" s="335" t="s">
        <v>239</v>
      </c>
      <c r="N19" s="292"/>
      <c r="O19" s="45">
        <v>0.25</v>
      </c>
      <c r="P19" s="217"/>
      <c r="Q19" s="218"/>
      <c r="R19" s="9"/>
    </row>
    <row r="20" spans="2:18" ht="18.75" customHeight="1">
      <c r="B20" s="150"/>
      <c r="C20" s="138" t="s">
        <v>20</v>
      </c>
      <c r="D20" s="157" t="s">
        <v>448</v>
      </c>
      <c r="E20" s="155"/>
      <c r="F20" s="7">
        <v>3</v>
      </c>
      <c r="G20" s="157" t="s">
        <v>449</v>
      </c>
      <c r="H20" s="155"/>
      <c r="I20" s="7">
        <v>3</v>
      </c>
      <c r="J20" s="167" t="s">
        <v>450</v>
      </c>
      <c r="K20" s="168"/>
      <c r="L20" s="7">
        <v>2.5</v>
      </c>
      <c r="M20" s="154" t="s">
        <v>445</v>
      </c>
      <c r="N20" s="155"/>
      <c r="O20" s="43">
        <v>2.5</v>
      </c>
      <c r="P20" s="154" t="s">
        <v>445</v>
      </c>
      <c r="Q20" s="155"/>
      <c r="R20" s="43">
        <v>4</v>
      </c>
    </row>
    <row r="21" spans="2:18" ht="18.75" customHeight="1">
      <c r="B21" s="150"/>
      <c r="C21" s="139"/>
      <c r="D21" s="167" t="s">
        <v>451</v>
      </c>
      <c r="E21" s="168"/>
      <c r="F21" s="12">
        <v>1</v>
      </c>
      <c r="G21" s="167" t="s">
        <v>452</v>
      </c>
      <c r="H21" s="168"/>
      <c r="I21" s="12">
        <v>1</v>
      </c>
      <c r="J21" s="167" t="s">
        <v>453</v>
      </c>
      <c r="K21" s="168"/>
      <c r="L21" s="12">
        <v>1.25</v>
      </c>
      <c r="M21" s="154" t="s">
        <v>454</v>
      </c>
      <c r="N21" s="155"/>
      <c r="O21" s="43">
        <v>1</v>
      </c>
      <c r="P21" s="167"/>
      <c r="Q21" s="168"/>
      <c r="R21" s="43"/>
    </row>
    <row r="22" spans="2:18" ht="18.75" customHeight="1">
      <c r="B22" s="150"/>
      <c r="C22" s="139"/>
      <c r="D22" s="167"/>
      <c r="E22" s="168"/>
      <c r="F22" s="7"/>
      <c r="G22" s="157"/>
      <c r="H22" s="155"/>
      <c r="I22" s="7"/>
      <c r="J22" s="167"/>
      <c r="K22" s="168"/>
      <c r="L22" s="43"/>
      <c r="M22" s="332" t="s">
        <v>455</v>
      </c>
      <c r="N22" s="333"/>
      <c r="O22" s="89">
        <v>0.25</v>
      </c>
      <c r="P22" s="157"/>
      <c r="Q22" s="155"/>
      <c r="R22" s="7"/>
    </row>
    <row r="23" spans="2:18" ht="18.75" customHeight="1">
      <c r="B23" s="150"/>
      <c r="C23" s="139"/>
      <c r="D23" s="157" t="s">
        <v>328</v>
      </c>
      <c r="E23" s="155"/>
      <c r="F23" s="7" t="s">
        <v>38</v>
      </c>
      <c r="G23" s="157" t="s">
        <v>328</v>
      </c>
      <c r="H23" s="155"/>
      <c r="I23" s="7" t="s">
        <v>38</v>
      </c>
      <c r="J23" s="216" t="s">
        <v>245</v>
      </c>
      <c r="K23" s="163"/>
      <c r="L23" s="44">
        <v>0.5</v>
      </c>
      <c r="M23" s="157" t="s">
        <v>328</v>
      </c>
      <c r="N23" s="155"/>
      <c r="O23" s="7" t="s">
        <v>38</v>
      </c>
      <c r="P23" s="157" t="s">
        <v>328</v>
      </c>
      <c r="Q23" s="155"/>
      <c r="R23" s="7" t="s">
        <v>38</v>
      </c>
    </row>
    <row r="24" spans="2:18" ht="19.5" customHeight="1" thickBot="1">
      <c r="B24" s="150"/>
      <c r="C24" s="140"/>
      <c r="D24" s="329" t="s">
        <v>174</v>
      </c>
      <c r="E24" s="287"/>
      <c r="F24" s="45">
        <v>0.75</v>
      </c>
      <c r="G24" s="329" t="s">
        <v>174</v>
      </c>
      <c r="H24" s="287"/>
      <c r="I24" s="45">
        <v>0.75</v>
      </c>
      <c r="J24" s="329" t="s">
        <v>174</v>
      </c>
      <c r="K24" s="287"/>
      <c r="L24" s="45">
        <v>0.75</v>
      </c>
      <c r="M24" s="329" t="s">
        <v>174</v>
      </c>
      <c r="N24" s="287"/>
      <c r="O24" s="45">
        <v>0.75</v>
      </c>
      <c r="P24" s="329" t="s">
        <v>174</v>
      </c>
      <c r="Q24" s="287"/>
      <c r="R24" s="45">
        <v>0.75</v>
      </c>
    </row>
    <row r="25" spans="2:18" ht="19.5" thickBot="1">
      <c r="B25" s="151"/>
      <c r="C25" s="18" t="s">
        <v>76</v>
      </c>
      <c r="D25" s="17"/>
      <c r="E25" s="17"/>
      <c r="F25" s="18">
        <f>SUM(F15:F24)</f>
        <v>7.75</v>
      </c>
      <c r="G25" s="17"/>
      <c r="H25" s="17"/>
      <c r="I25" s="18">
        <f>SUM(I15:I24)</f>
        <v>7.75</v>
      </c>
      <c r="J25" s="17"/>
      <c r="K25" s="17"/>
      <c r="L25" s="18">
        <f>SUM(L15:L24)</f>
        <v>7.75</v>
      </c>
      <c r="M25" s="17"/>
      <c r="N25" s="17"/>
      <c r="O25" s="18">
        <f>SUM(O15:O24)</f>
        <v>7.75</v>
      </c>
      <c r="P25" s="17"/>
      <c r="Q25" s="17"/>
      <c r="R25" s="18">
        <f>SUM(R15:R24)</f>
        <v>7.75</v>
      </c>
    </row>
    <row r="26" spans="2:18" ht="18.75" customHeight="1">
      <c r="B26" s="149" t="s">
        <v>65</v>
      </c>
      <c r="C26" s="138" t="s">
        <v>9</v>
      </c>
      <c r="D26" s="152" t="s">
        <v>456</v>
      </c>
      <c r="E26" s="153"/>
      <c r="F26" s="6">
        <v>0.5</v>
      </c>
      <c r="G26" s="330" t="s">
        <v>410</v>
      </c>
      <c r="H26" s="331"/>
      <c r="I26" s="7">
        <v>1.5</v>
      </c>
      <c r="J26" s="330" t="s">
        <v>411</v>
      </c>
      <c r="K26" s="331"/>
      <c r="L26" s="7">
        <v>1.5</v>
      </c>
      <c r="M26" s="330" t="s">
        <v>333</v>
      </c>
      <c r="N26" s="331"/>
      <c r="O26" s="7">
        <v>1.5</v>
      </c>
      <c r="P26" s="330" t="s">
        <v>37</v>
      </c>
      <c r="Q26" s="331"/>
      <c r="R26" s="7">
        <v>0.5</v>
      </c>
    </row>
    <row r="27" spans="2:18" ht="18.75" customHeight="1">
      <c r="B27" s="150"/>
      <c r="C27" s="139"/>
      <c r="D27" s="157" t="s">
        <v>457</v>
      </c>
      <c r="E27" s="155"/>
      <c r="F27" s="7">
        <v>0.5</v>
      </c>
      <c r="G27" s="325" t="s">
        <v>412</v>
      </c>
      <c r="H27" s="326"/>
      <c r="I27" s="7">
        <v>1.5</v>
      </c>
      <c r="J27" s="325" t="s">
        <v>413</v>
      </c>
      <c r="K27" s="326"/>
      <c r="L27" s="7">
        <v>1</v>
      </c>
      <c r="M27" s="325" t="s">
        <v>418</v>
      </c>
      <c r="N27" s="326"/>
      <c r="O27" s="7">
        <v>0.5</v>
      </c>
      <c r="P27" s="325" t="s">
        <v>419</v>
      </c>
      <c r="Q27" s="326"/>
      <c r="R27" s="7">
        <v>2</v>
      </c>
    </row>
    <row r="28" spans="2:18" ht="18.75" customHeight="1">
      <c r="B28" s="150"/>
      <c r="C28" s="139"/>
      <c r="D28" s="154" t="s">
        <v>459</v>
      </c>
      <c r="E28" s="155"/>
      <c r="F28" s="12">
        <v>2</v>
      </c>
      <c r="G28" s="154" t="s">
        <v>367</v>
      </c>
      <c r="H28" s="155"/>
      <c r="I28" s="12" t="s">
        <v>368</v>
      </c>
      <c r="J28" s="154"/>
      <c r="K28" s="155"/>
      <c r="L28" s="12"/>
      <c r="M28" s="154" t="s">
        <v>420</v>
      </c>
      <c r="N28" s="155"/>
      <c r="O28" s="12">
        <v>0.75</v>
      </c>
      <c r="P28" s="154"/>
      <c r="Q28" s="155"/>
      <c r="R28" s="12"/>
    </row>
    <row r="29" spans="2:18" ht="18.75" customHeight="1">
      <c r="B29" s="150"/>
      <c r="C29" s="139"/>
      <c r="D29" s="157"/>
      <c r="E29" s="155"/>
      <c r="F29" s="7"/>
      <c r="G29" s="154"/>
      <c r="H29" s="155"/>
      <c r="I29" s="12"/>
      <c r="J29" s="154"/>
      <c r="K29" s="155"/>
      <c r="L29" s="12"/>
      <c r="M29" s="154"/>
      <c r="N29" s="155"/>
      <c r="O29" s="12"/>
      <c r="P29" s="154"/>
      <c r="Q29" s="155"/>
      <c r="R29" s="12"/>
    </row>
    <row r="30" spans="2:18" ht="19.5" customHeight="1" thickBot="1">
      <c r="B30" s="150"/>
      <c r="C30" s="140"/>
      <c r="D30" s="158"/>
      <c r="E30" s="159"/>
      <c r="F30" s="9"/>
      <c r="G30" s="161"/>
      <c r="H30" s="159"/>
      <c r="I30" s="9"/>
      <c r="J30" s="161"/>
      <c r="K30" s="159"/>
      <c r="L30" s="9"/>
      <c r="M30" s="161"/>
      <c r="N30" s="159"/>
      <c r="O30" s="9"/>
      <c r="P30" s="161"/>
      <c r="Q30" s="159"/>
      <c r="R30" s="9"/>
    </row>
    <row r="31" spans="2:18" ht="18.75" customHeight="1">
      <c r="B31" s="150"/>
      <c r="C31" s="138" t="s">
        <v>20</v>
      </c>
      <c r="D31" s="327"/>
      <c r="E31" s="328"/>
      <c r="F31" s="33"/>
      <c r="G31" s="154" t="s">
        <v>415</v>
      </c>
      <c r="H31" s="155"/>
      <c r="I31" s="7">
        <v>2</v>
      </c>
      <c r="J31" s="154" t="s">
        <v>37</v>
      </c>
      <c r="K31" s="155"/>
      <c r="L31" s="7">
        <v>0.5</v>
      </c>
      <c r="M31" s="154" t="s">
        <v>421</v>
      </c>
      <c r="N31" s="155"/>
      <c r="O31" s="7">
        <v>0.25</v>
      </c>
      <c r="P31" s="156" t="s">
        <v>415</v>
      </c>
      <c r="Q31" s="153"/>
      <c r="R31" s="7">
        <v>2.5</v>
      </c>
    </row>
    <row r="32" spans="2:18" ht="18.75" customHeight="1">
      <c r="B32" s="150"/>
      <c r="C32" s="139"/>
      <c r="D32" s="221"/>
      <c r="E32" s="222"/>
      <c r="F32" s="24"/>
      <c r="G32" s="154" t="s">
        <v>416</v>
      </c>
      <c r="H32" s="155"/>
      <c r="I32" s="7">
        <v>2</v>
      </c>
      <c r="J32" s="154" t="s">
        <v>414</v>
      </c>
      <c r="K32" s="155"/>
      <c r="L32" s="7">
        <v>1</v>
      </c>
      <c r="M32" s="154" t="s">
        <v>422</v>
      </c>
      <c r="N32" s="155"/>
      <c r="O32" s="7">
        <v>2</v>
      </c>
      <c r="P32" s="154" t="s">
        <v>422</v>
      </c>
      <c r="Q32" s="155"/>
      <c r="R32" s="7">
        <v>2</v>
      </c>
    </row>
    <row r="33" spans="2:18" ht="18.75" customHeight="1">
      <c r="B33" s="150"/>
      <c r="C33" s="139"/>
      <c r="D33" s="157" t="s">
        <v>458</v>
      </c>
      <c r="E33" s="155"/>
      <c r="F33" s="7">
        <v>2</v>
      </c>
      <c r="G33" s="154"/>
      <c r="H33" s="155"/>
      <c r="I33" s="7"/>
      <c r="J33" s="154" t="s">
        <v>415</v>
      </c>
      <c r="K33" s="155"/>
      <c r="L33" s="7">
        <v>1</v>
      </c>
      <c r="M33" s="154" t="s">
        <v>415</v>
      </c>
      <c r="N33" s="155"/>
      <c r="O33" s="7">
        <v>2</v>
      </c>
      <c r="P33" s="154"/>
      <c r="Q33" s="155"/>
      <c r="R33" s="7"/>
    </row>
    <row r="34" spans="2:18" ht="18.75" customHeight="1">
      <c r="B34" s="150"/>
      <c r="C34" s="139"/>
      <c r="D34" s="157" t="s">
        <v>377</v>
      </c>
      <c r="E34" s="155"/>
      <c r="F34" s="7">
        <v>2</v>
      </c>
      <c r="G34" s="154"/>
      <c r="H34" s="155"/>
      <c r="I34" s="7"/>
      <c r="J34" s="154" t="s">
        <v>417</v>
      </c>
      <c r="K34" s="155"/>
      <c r="L34" s="7">
        <v>2</v>
      </c>
      <c r="M34" s="154"/>
      <c r="N34" s="155"/>
      <c r="O34" s="7"/>
      <c r="P34" s="154"/>
      <c r="Q34" s="155"/>
      <c r="R34" s="7"/>
    </row>
    <row r="35" spans="2:18" ht="19.5" customHeight="1" thickBot="1">
      <c r="B35" s="150"/>
      <c r="C35" s="140"/>
      <c r="D35" s="88"/>
      <c r="E35" s="85"/>
      <c r="F35" s="59"/>
      <c r="G35" s="161"/>
      <c r="H35" s="159"/>
      <c r="I35" s="9"/>
      <c r="J35" s="161"/>
      <c r="K35" s="159"/>
      <c r="L35" s="9"/>
      <c r="M35" s="161"/>
      <c r="N35" s="159"/>
      <c r="O35" s="9"/>
      <c r="P35" s="161"/>
      <c r="Q35" s="159"/>
      <c r="R35" s="9"/>
    </row>
    <row r="36" spans="2:18" ht="19.5" thickBot="1">
      <c r="B36" s="151"/>
      <c r="C36" s="18" t="s">
        <v>76</v>
      </c>
      <c r="D36" s="17"/>
      <c r="E36" s="17"/>
      <c r="F36" s="18">
        <f>SUM(F26:F35)</f>
        <v>7</v>
      </c>
      <c r="G36" s="17"/>
      <c r="H36" s="17"/>
      <c r="I36" s="18">
        <f>SUM(I26:I35)</f>
        <v>7</v>
      </c>
      <c r="J36" s="17"/>
      <c r="K36" s="17"/>
      <c r="L36" s="18">
        <f>SUM(L26:L35)</f>
        <v>7</v>
      </c>
      <c r="M36" s="17"/>
      <c r="N36" s="17"/>
      <c r="O36" s="18">
        <f>SUM(O26:O35)</f>
        <v>7</v>
      </c>
      <c r="P36" s="17"/>
      <c r="Q36" s="17"/>
      <c r="R36" s="18">
        <f>SUM(R26:R35)</f>
        <v>7</v>
      </c>
    </row>
    <row r="37" spans="2:18">
      <c r="B37" s="149" t="s">
        <v>146</v>
      </c>
      <c r="C37" s="138" t="s">
        <v>9</v>
      </c>
      <c r="D37" s="323"/>
      <c r="E37" s="324"/>
      <c r="F37" s="61"/>
      <c r="G37" s="323"/>
      <c r="H37" s="324"/>
      <c r="I37" s="61"/>
      <c r="J37" s="323"/>
      <c r="K37" s="324"/>
      <c r="L37" s="61"/>
      <c r="M37" s="323"/>
      <c r="N37" s="324"/>
      <c r="O37" s="61"/>
      <c r="P37" s="323"/>
      <c r="Q37" s="324"/>
      <c r="R37" s="61"/>
    </row>
    <row r="38" spans="2:18">
      <c r="B38" s="150"/>
      <c r="C38" s="139"/>
      <c r="D38" s="318"/>
      <c r="E38" s="317"/>
      <c r="F38" s="62"/>
      <c r="G38" s="318"/>
      <c r="H38" s="317"/>
      <c r="I38" s="62"/>
      <c r="J38" s="318"/>
      <c r="K38" s="317"/>
      <c r="L38" s="62"/>
      <c r="M38" s="318"/>
      <c r="N38" s="317"/>
      <c r="O38" s="62"/>
      <c r="P38" s="318"/>
      <c r="Q38" s="317"/>
      <c r="R38" s="62"/>
    </row>
    <row r="39" spans="2:18">
      <c r="B39" s="150"/>
      <c r="C39" s="139"/>
      <c r="D39" s="318"/>
      <c r="E39" s="317"/>
      <c r="F39" s="32"/>
      <c r="G39" s="318"/>
      <c r="H39" s="317"/>
      <c r="I39" s="32"/>
      <c r="J39" s="318"/>
      <c r="K39" s="317"/>
      <c r="L39" s="32"/>
      <c r="M39" s="318"/>
      <c r="N39" s="317"/>
      <c r="O39" s="32"/>
      <c r="P39" s="318"/>
      <c r="Q39" s="317"/>
      <c r="R39" s="32"/>
    </row>
    <row r="40" spans="2:18">
      <c r="B40" s="150"/>
      <c r="C40" s="139"/>
      <c r="D40" s="318"/>
      <c r="E40" s="317"/>
      <c r="F40" s="32"/>
      <c r="G40" s="318"/>
      <c r="H40" s="317"/>
      <c r="I40" s="32"/>
      <c r="J40" s="318"/>
      <c r="K40" s="317"/>
      <c r="L40" s="32"/>
      <c r="M40" s="318"/>
      <c r="N40" s="317"/>
      <c r="O40" s="32"/>
      <c r="P40" s="318"/>
      <c r="Q40" s="317"/>
      <c r="R40" s="32"/>
    </row>
    <row r="41" spans="2:18" ht="19.5" thickBot="1">
      <c r="B41" s="150"/>
      <c r="C41" s="140"/>
      <c r="D41" s="319"/>
      <c r="E41" s="320"/>
      <c r="F41" s="59"/>
      <c r="G41" s="321"/>
      <c r="H41" s="322"/>
      <c r="I41" s="59"/>
      <c r="J41" s="321"/>
      <c r="K41" s="322"/>
      <c r="L41" s="59"/>
      <c r="M41" s="321"/>
      <c r="N41" s="322"/>
      <c r="O41" s="59"/>
      <c r="P41" s="321"/>
      <c r="Q41" s="322"/>
      <c r="R41" s="59"/>
    </row>
    <row r="42" spans="2:18">
      <c r="B42" s="150"/>
      <c r="C42" s="138" t="s">
        <v>20</v>
      </c>
      <c r="D42" s="318"/>
      <c r="E42" s="317"/>
      <c r="F42" s="69"/>
      <c r="G42" s="318"/>
      <c r="H42" s="317"/>
      <c r="I42" s="69"/>
      <c r="J42" s="318"/>
      <c r="K42" s="317"/>
      <c r="L42" s="69"/>
      <c r="M42" s="318"/>
      <c r="N42" s="317"/>
      <c r="O42" s="69"/>
      <c r="P42" s="318"/>
      <c r="Q42" s="317"/>
      <c r="R42" s="69"/>
    </row>
    <row r="43" spans="2:18">
      <c r="B43" s="150"/>
      <c r="C43" s="139"/>
      <c r="D43" s="318"/>
      <c r="E43" s="317"/>
      <c r="F43" s="69"/>
      <c r="G43" s="316"/>
      <c r="H43" s="317"/>
      <c r="I43" s="69"/>
      <c r="J43" s="316"/>
      <c r="K43" s="317"/>
      <c r="L43" s="69"/>
      <c r="M43" s="318"/>
      <c r="N43" s="317"/>
      <c r="O43" s="69"/>
      <c r="P43" s="318"/>
      <c r="Q43" s="317"/>
      <c r="R43" s="69"/>
    </row>
    <row r="44" spans="2:18">
      <c r="B44" s="150"/>
      <c r="C44" s="139"/>
      <c r="D44" s="316"/>
      <c r="E44" s="317"/>
      <c r="F44" s="69"/>
      <c r="G44" s="318"/>
      <c r="H44" s="317"/>
      <c r="I44" s="69"/>
      <c r="J44" s="318"/>
      <c r="K44" s="317"/>
      <c r="L44" s="69"/>
      <c r="M44" s="316"/>
      <c r="N44" s="317"/>
      <c r="O44" s="69"/>
      <c r="P44" s="316"/>
      <c r="Q44" s="317"/>
      <c r="R44" s="69"/>
    </row>
    <row r="45" spans="2:18">
      <c r="B45" s="150"/>
      <c r="C45" s="139"/>
      <c r="D45" s="316"/>
      <c r="E45" s="317"/>
      <c r="F45" s="69"/>
      <c r="G45" s="318"/>
      <c r="H45" s="317"/>
      <c r="I45" s="69"/>
      <c r="J45" s="316"/>
      <c r="K45" s="317"/>
      <c r="L45" s="69"/>
      <c r="M45" s="316"/>
      <c r="N45" s="317"/>
      <c r="O45" s="69"/>
      <c r="P45" s="316"/>
      <c r="Q45" s="317"/>
      <c r="R45" s="69"/>
    </row>
    <row r="46" spans="2:18" ht="19.5" thickBot="1">
      <c r="B46" s="150"/>
      <c r="C46" s="140"/>
      <c r="D46" s="314"/>
      <c r="E46" s="315"/>
      <c r="F46" s="70"/>
      <c r="G46" s="314"/>
      <c r="H46" s="315"/>
      <c r="I46" s="70"/>
      <c r="J46" s="314"/>
      <c r="K46" s="315"/>
      <c r="L46" s="70"/>
      <c r="M46" s="314"/>
      <c r="N46" s="315"/>
      <c r="O46" s="70"/>
      <c r="P46" s="314"/>
      <c r="Q46" s="315"/>
      <c r="R46" s="70"/>
    </row>
    <row r="47" spans="2:18" ht="19.5" thickBot="1">
      <c r="B47" s="151"/>
      <c r="C47" s="18" t="s">
        <v>76</v>
      </c>
      <c r="D47" s="17"/>
      <c r="E47" s="17"/>
      <c r="F47" s="18">
        <f>SUM(F37:F46)</f>
        <v>0</v>
      </c>
      <c r="G47" s="17"/>
      <c r="H47" s="17"/>
      <c r="I47" s="18">
        <f>SUM(I37:I46)</f>
        <v>0</v>
      </c>
      <c r="J47" s="17"/>
      <c r="K47" s="17"/>
      <c r="L47" s="18">
        <f>SUM(L37:L46)</f>
        <v>0</v>
      </c>
      <c r="M47" s="17"/>
      <c r="N47" s="17"/>
      <c r="O47" s="18">
        <f>SUM(O37:O46)</f>
        <v>0</v>
      </c>
      <c r="P47" s="17"/>
      <c r="Q47" s="17"/>
      <c r="R47" s="18">
        <f>SUM(R37:R46)</f>
        <v>0</v>
      </c>
    </row>
    <row r="49" spans="2:6">
      <c r="B49" s="294" t="s">
        <v>182</v>
      </c>
      <c r="C49" s="295"/>
      <c r="D49" s="49" t="s">
        <v>183</v>
      </c>
      <c r="E49" s="296" t="s">
        <v>184</v>
      </c>
      <c r="F49" s="296"/>
    </row>
  </sheetData>
  <mergeCells count="238"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  <mergeCell ref="B4:B14"/>
    <mergeCell ref="C4:C8"/>
    <mergeCell ref="D4:E4"/>
    <mergeCell ref="G4:H4"/>
    <mergeCell ref="J4:K4"/>
    <mergeCell ref="M4:N4"/>
    <mergeCell ref="P4:Q4"/>
    <mergeCell ref="D6:E6"/>
    <mergeCell ref="K2:K3"/>
    <mergeCell ref="L2:L3"/>
    <mergeCell ref="M2:M3"/>
    <mergeCell ref="N2:N3"/>
    <mergeCell ref="O2:O3"/>
    <mergeCell ref="P2:P3"/>
    <mergeCell ref="D8:E8"/>
    <mergeCell ref="G8:H8"/>
    <mergeCell ref="J8:K8"/>
    <mergeCell ref="M8:N8"/>
    <mergeCell ref="P8:Q8"/>
    <mergeCell ref="P10:Q10"/>
    <mergeCell ref="D11:E11"/>
    <mergeCell ref="G11:H11"/>
    <mergeCell ref="J11:K11"/>
    <mergeCell ref="M11:N11"/>
    <mergeCell ref="S4:T4"/>
    <mergeCell ref="D5:E5"/>
    <mergeCell ref="G5:H5"/>
    <mergeCell ref="J5:K5"/>
    <mergeCell ref="M5:N5"/>
    <mergeCell ref="P5:Q5"/>
    <mergeCell ref="S5:T5"/>
    <mergeCell ref="Q2:Q3"/>
    <mergeCell ref="R2:R3"/>
    <mergeCell ref="S8:T8"/>
    <mergeCell ref="G6:H6"/>
    <mergeCell ref="J6:K6"/>
    <mergeCell ref="M6:N6"/>
    <mergeCell ref="P6:Q6"/>
    <mergeCell ref="S6:T6"/>
    <mergeCell ref="D7:E7"/>
    <mergeCell ref="G7:H7"/>
    <mergeCell ref="J7:K7"/>
    <mergeCell ref="M7:N7"/>
    <mergeCell ref="P7:Q7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3:E13"/>
    <mergeCell ref="G13:H13"/>
    <mergeCell ref="J13:K13"/>
    <mergeCell ref="M13:N13"/>
    <mergeCell ref="P13:Q13"/>
    <mergeCell ref="S13:T13"/>
    <mergeCell ref="S11:T11"/>
    <mergeCell ref="D12:E12"/>
    <mergeCell ref="G12:H12"/>
    <mergeCell ref="J12:K12"/>
    <mergeCell ref="M12:N12"/>
    <mergeCell ref="P12:Q12"/>
    <mergeCell ref="S12:T12"/>
    <mergeCell ref="P17:Q17"/>
    <mergeCell ref="P11:Q11"/>
    <mergeCell ref="D18:E18"/>
    <mergeCell ref="G18:H18"/>
    <mergeCell ref="J18:K18"/>
    <mergeCell ref="M18:N18"/>
    <mergeCell ref="P18:Q18"/>
    <mergeCell ref="P15:Q15"/>
    <mergeCell ref="D16:E16"/>
    <mergeCell ref="G16:H16"/>
    <mergeCell ref="J16:K16"/>
    <mergeCell ref="M16:N16"/>
    <mergeCell ref="P16:Q16"/>
    <mergeCell ref="D15:E15"/>
    <mergeCell ref="G15:H15"/>
    <mergeCell ref="J15:K15"/>
    <mergeCell ref="M15:N15"/>
    <mergeCell ref="D17:E17"/>
    <mergeCell ref="G17:H17"/>
    <mergeCell ref="J17:K17"/>
    <mergeCell ref="M17:N17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D20:E20"/>
    <mergeCell ref="G20:H20"/>
    <mergeCell ref="J20:K20"/>
    <mergeCell ref="M20:N20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  <mergeCell ref="D24:E24"/>
    <mergeCell ref="G24:H24"/>
    <mergeCell ref="J24:K24"/>
    <mergeCell ref="M24:N24"/>
    <mergeCell ref="P24:Q24"/>
    <mergeCell ref="B26:B36"/>
    <mergeCell ref="C26:C30"/>
    <mergeCell ref="D26:E26"/>
    <mergeCell ref="G26:H26"/>
    <mergeCell ref="J26:K26"/>
    <mergeCell ref="C20:C24"/>
    <mergeCell ref="B15:B25"/>
    <mergeCell ref="C15:C19"/>
    <mergeCell ref="P28:Q28"/>
    <mergeCell ref="D29:E29"/>
    <mergeCell ref="G29:H29"/>
    <mergeCell ref="J29:K29"/>
    <mergeCell ref="M29:N29"/>
    <mergeCell ref="P29:Q29"/>
    <mergeCell ref="M26:N26"/>
    <mergeCell ref="P26:Q26"/>
    <mergeCell ref="D27:E27"/>
    <mergeCell ref="G27:H27"/>
    <mergeCell ref="J27:K27"/>
    <mergeCell ref="M27:N27"/>
    <mergeCell ref="P27:Q27"/>
    <mergeCell ref="C31:C35"/>
    <mergeCell ref="D31:E31"/>
    <mergeCell ref="G31:H31"/>
    <mergeCell ref="J31:K31"/>
    <mergeCell ref="M31:N31"/>
    <mergeCell ref="D28:E28"/>
    <mergeCell ref="G28:H28"/>
    <mergeCell ref="J28:K28"/>
    <mergeCell ref="M28:N28"/>
    <mergeCell ref="P31:Q31"/>
    <mergeCell ref="D32:E32"/>
    <mergeCell ref="G32:H32"/>
    <mergeCell ref="J32:K32"/>
    <mergeCell ref="M32:N32"/>
    <mergeCell ref="P32:Q32"/>
    <mergeCell ref="D30:E30"/>
    <mergeCell ref="G30:H30"/>
    <mergeCell ref="J30:K30"/>
    <mergeCell ref="M30:N30"/>
    <mergeCell ref="P30:Q30"/>
    <mergeCell ref="D33:E33"/>
    <mergeCell ref="G33:H33"/>
    <mergeCell ref="J33:K33"/>
    <mergeCell ref="M33:N33"/>
    <mergeCell ref="P33:Q33"/>
    <mergeCell ref="D34:E34"/>
    <mergeCell ref="G34:H34"/>
    <mergeCell ref="J34:K34"/>
    <mergeCell ref="M34:N34"/>
    <mergeCell ref="P34:Q34"/>
    <mergeCell ref="P37:Q37"/>
    <mergeCell ref="D38:E38"/>
    <mergeCell ref="G38:H38"/>
    <mergeCell ref="J38:K38"/>
    <mergeCell ref="M38:N38"/>
    <mergeCell ref="P38:Q38"/>
    <mergeCell ref="G35:H35"/>
    <mergeCell ref="J35:K35"/>
    <mergeCell ref="M35:N35"/>
    <mergeCell ref="P35:Q35"/>
    <mergeCell ref="D37:E37"/>
    <mergeCell ref="G37:H37"/>
    <mergeCell ref="J37:K37"/>
    <mergeCell ref="M37:N37"/>
    <mergeCell ref="D39:E39"/>
    <mergeCell ref="G39:H39"/>
    <mergeCell ref="J39:K39"/>
    <mergeCell ref="M39:N39"/>
    <mergeCell ref="P39:Q39"/>
    <mergeCell ref="D40:E40"/>
    <mergeCell ref="G40:H40"/>
    <mergeCell ref="J40:K40"/>
    <mergeCell ref="M40:N40"/>
    <mergeCell ref="P40:Q40"/>
    <mergeCell ref="M43:N43"/>
    <mergeCell ref="P43:Q43"/>
    <mergeCell ref="D41:E41"/>
    <mergeCell ref="G41:H41"/>
    <mergeCell ref="J41:K41"/>
    <mergeCell ref="M41:N41"/>
    <mergeCell ref="P41:Q41"/>
    <mergeCell ref="D42:E42"/>
    <mergeCell ref="G42:H42"/>
    <mergeCell ref="J42:K42"/>
    <mergeCell ref="M42:N42"/>
    <mergeCell ref="D46:E46"/>
    <mergeCell ref="G46:H46"/>
    <mergeCell ref="J46:K46"/>
    <mergeCell ref="M46:N46"/>
    <mergeCell ref="P46:Q46"/>
    <mergeCell ref="B49:C49"/>
    <mergeCell ref="E49:F49"/>
    <mergeCell ref="D44:E44"/>
    <mergeCell ref="G44:H44"/>
    <mergeCell ref="J44:K44"/>
    <mergeCell ref="M44:N44"/>
    <mergeCell ref="P44:Q44"/>
    <mergeCell ref="D45:E45"/>
    <mergeCell ref="G45:H45"/>
    <mergeCell ref="J45:K45"/>
    <mergeCell ref="M45:N45"/>
    <mergeCell ref="P45:Q45"/>
    <mergeCell ref="C42:C46"/>
    <mergeCell ref="B37:B47"/>
    <mergeCell ref="C37:C41"/>
    <mergeCell ref="P42:Q42"/>
    <mergeCell ref="D43:E43"/>
    <mergeCell ref="G43:H43"/>
    <mergeCell ref="J43:K43"/>
  </mergeCells>
  <phoneticPr fontId="1"/>
  <pageMargins left="0.7" right="0.7" top="0.75" bottom="0.75" header="0.3" footer="0.3"/>
  <pageSetup paperSize="8" scale="67" orientation="landscape" horizontalDpi="1200" verticalDpi="1200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2785-7574-47FA-8675-10DF1DD8C0BF}">
  <sheetPr codeName="Sheet26"/>
  <dimension ref="B1:T49"/>
  <sheetViews>
    <sheetView view="pageBreakPreview" zoomScale="85" zoomScaleNormal="100" zoomScaleSheetLayoutView="85" workbookViewId="0">
      <selection activeCell="B37" sqref="B37:B47"/>
    </sheetView>
  </sheetViews>
  <sheetFormatPr defaultRowHeight="18.75"/>
  <cols>
    <col min="1" max="1" width="2.5" customWidth="1"/>
    <col min="4" max="18" width="16" customWidth="1"/>
  </cols>
  <sheetData>
    <row r="1" spans="2:20" ht="24.75" thickBot="1">
      <c r="D1" s="53">
        <v>45558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20" s="5" customFormat="1">
      <c r="B2" s="201"/>
      <c r="C2" s="202"/>
      <c r="D2" s="205">
        <f>D1</f>
        <v>45558</v>
      </c>
      <c r="E2" s="195" t="s">
        <v>3</v>
      </c>
      <c r="F2" s="191" t="s">
        <v>4</v>
      </c>
      <c r="G2" s="197">
        <f>D2+1</f>
        <v>45559</v>
      </c>
      <c r="H2" s="195" t="s">
        <v>5</v>
      </c>
      <c r="I2" s="191" t="s">
        <v>4</v>
      </c>
      <c r="J2" s="197">
        <f>G2+1</f>
        <v>45560</v>
      </c>
      <c r="K2" s="195" t="s">
        <v>6</v>
      </c>
      <c r="L2" s="191" t="s">
        <v>4</v>
      </c>
      <c r="M2" s="197">
        <f>J2+1</f>
        <v>45561</v>
      </c>
      <c r="N2" s="195" t="s">
        <v>7</v>
      </c>
      <c r="O2" s="191" t="s">
        <v>4</v>
      </c>
      <c r="P2" s="197">
        <f>M2+1</f>
        <v>45562</v>
      </c>
      <c r="Q2" s="195" t="s">
        <v>8</v>
      </c>
      <c r="R2" s="191" t="s">
        <v>4</v>
      </c>
    </row>
    <row r="3" spans="2:20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20" ht="18.75" customHeight="1">
      <c r="B4" s="303" t="s">
        <v>31</v>
      </c>
      <c r="C4" s="138" t="s">
        <v>9</v>
      </c>
      <c r="D4" s="338"/>
      <c r="E4" s="339"/>
      <c r="F4" s="6"/>
      <c r="G4" s="264" t="s">
        <v>67</v>
      </c>
      <c r="H4" s="153"/>
      <c r="I4" s="6">
        <v>0.5</v>
      </c>
      <c r="J4" s="264" t="s">
        <v>67</v>
      </c>
      <c r="K4" s="153"/>
      <c r="L4" s="6">
        <v>0.5</v>
      </c>
      <c r="M4" s="264" t="s">
        <v>67</v>
      </c>
      <c r="N4" s="153"/>
      <c r="O4" s="6">
        <v>0.5</v>
      </c>
      <c r="P4" s="264" t="s">
        <v>67</v>
      </c>
      <c r="Q4" s="153"/>
      <c r="R4" s="6">
        <v>0.5</v>
      </c>
      <c r="S4" s="211"/>
      <c r="T4" s="211"/>
    </row>
    <row r="5" spans="2:20" ht="18.75" customHeight="1">
      <c r="B5" s="304"/>
      <c r="C5" s="139"/>
      <c r="D5" s="157"/>
      <c r="E5" s="155"/>
      <c r="F5" s="7"/>
      <c r="G5" s="157" t="s">
        <v>71</v>
      </c>
      <c r="H5" s="155"/>
      <c r="I5" s="7">
        <v>0.1</v>
      </c>
      <c r="J5" s="157" t="s">
        <v>71</v>
      </c>
      <c r="K5" s="155"/>
      <c r="L5" s="7">
        <v>0.1</v>
      </c>
      <c r="M5" s="157" t="s">
        <v>71</v>
      </c>
      <c r="N5" s="155"/>
      <c r="O5" s="7">
        <v>0.1</v>
      </c>
      <c r="P5" s="157" t="s">
        <v>71</v>
      </c>
      <c r="Q5" s="155"/>
      <c r="R5" s="7">
        <v>0.1</v>
      </c>
      <c r="S5" s="211"/>
      <c r="T5" s="211"/>
    </row>
    <row r="6" spans="2:20" ht="18.75" customHeight="1">
      <c r="B6" s="304"/>
      <c r="C6" s="139"/>
      <c r="D6" s="226"/>
      <c r="E6" s="227"/>
      <c r="F6" s="66"/>
      <c r="G6" s="226" t="s">
        <v>396</v>
      </c>
      <c r="H6" s="227"/>
      <c r="I6" s="7">
        <v>0.5</v>
      </c>
      <c r="J6" s="154" t="s">
        <v>401</v>
      </c>
      <c r="K6" s="155"/>
      <c r="L6" s="16">
        <v>1</v>
      </c>
      <c r="M6" s="154"/>
      <c r="N6" s="155"/>
      <c r="O6" s="7"/>
      <c r="P6" s="154" t="s">
        <v>395</v>
      </c>
      <c r="Q6" s="155"/>
      <c r="R6" s="7">
        <v>0.5</v>
      </c>
      <c r="S6" s="212"/>
      <c r="T6" s="212"/>
    </row>
    <row r="7" spans="2:20" ht="18.75" customHeight="1">
      <c r="B7" s="304"/>
      <c r="C7" s="139"/>
      <c r="D7" s="154"/>
      <c r="E7" s="155"/>
      <c r="F7" s="7"/>
      <c r="G7" s="226"/>
      <c r="H7" s="227"/>
      <c r="I7" s="7"/>
      <c r="J7" s="154" t="s">
        <v>438</v>
      </c>
      <c r="K7" s="155"/>
      <c r="L7" s="16">
        <v>0.5</v>
      </c>
      <c r="M7" s="154"/>
      <c r="N7" s="155"/>
      <c r="O7" s="16"/>
      <c r="P7" s="154" t="s">
        <v>399</v>
      </c>
      <c r="Q7" s="155"/>
      <c r="R7" s="7">
        <v>1.5</v>
      </c>
      <c r="S7" s="8"/>
      <c r="T7" s="8"/>
    </row>
    <row r="8" spans="2:20" ht="19.5" customHeight="1" thickBot="1">
      <c r="B8" s="304"/>
      <c r="C8" s="140"/>
      <c r="D8" s="340"/>
      <c r="E8" s="218"/>
      <c r="F8" s="57"/>
      <c r="G8" s="160"/>
      <c r="H8" s="159"/>
      <c r="I8" s="9"/>
      <c r="J8" s="160"/>
      <c r="K8" s="159"/>
      <c r="L8" s="9"/>
      <c r="M8" s="160"/>
      <c r="N8" s="159"/>
      <c r="O8" s="9"/>
      <c r="P8" s="161"/>
      <c r="Q8" s="159"/>
      <c r="R8" s="9"/>
      <c r="S8" s="214"/>
      <c r="T8" s="214"/>
    </row>
    <row r="9" spans="2:20" ht="18.75" customHeight="1">
      <c r="B9" s="304"/>
      <c r="C9" s="138" t="s">
        <v>20</v>
      </c>
      <c r="D9" s="154"/>
      <c r="E9" s="155"/>
      <c r="F9" s="16"/>
      <c r="G9" s="154"/>
      <c r="H9" s="155"/>
      <c r="I9" s="16"/>
      <c r="J9" s="154"/>
      <c r="K9" s="155"/>
      <c r="L9" s="16"/>
      <c r="M9" s="154"/>
      <c r="N9" s="155"/>
      <c r="O9" s="16"/>
      <c r="P9" s="154"/>
      <c r="Q9" s="155"/>
      <c r="R9" s="16"/>
      <c r="S9" s="11"/>
      <c r="T9" s="11"/>
    </row>
    <row r="10" spans="2:20" ht="18.75" customHeight="1">
      <c r="B10" s="304"/>
      <c r="C10" s="139"/>
      <c r="D10" s="154"/>
      <c r="E10" s="155"/>
      <c r="F10" s="7"/>
      <c r="G10" s="154" t="s">
        <v>436</v>
      </c>
      <c r="H10" s="155"/>
      <c r="I10" s="16">
        <v>1</v>
      </c>
      <c r="J10" s="154" t="s">
        <v>437</v>
      </c>
      <c r="K10" s="155"/>
      <c r="L10" s="16">
        <v>1</v>
      </c>
      <c r="M10" s="154" t="s">
        <v>440</v>
      </c>
      <c r="N10" s="155"/>
      <c r="O10" s="16">
        <v>5.15</v>
      </c>
      <c r="P10" s="154" t="s">
        <v>441</v>
      </c>
      <c r="Q10" s="155"/>
      <c r="R10" s="16">
        <v>1</v>
      </c>
      <c r="S10" s="11"/>
      <c r="T10" s="11"/>
    </row>
    <row r="11" spans="2:20" ht="18.75" customHeight="1">
      <c r="B11" s="304"/>
      <c r="C11" s="139"/>
      <c r="D11" s="300"/>
      <c r="E11" s="155"/>
      <c r="F11" s="7"/>
      <c r="G11" s="154" t="s">
        <v>439</v>
      </c>
      <c r="H11" s="155"/>
      <c r="I11" s="16">
        <v>5.4</v>
      </c>
      <c r="J11" s="154" t="s">
        <v>439</v>
      </c>
      <c r="K11" s="155"/>
      <c r="L11" s="16">
        <v>4.4000000000000004</v>
      </c>
      <c r="M11" s="154"/>
      <c r="N11" s="155"/>
      <c r="O11" s="16"/>
      <c r="P11" s="154" t="s">
        <v>409</v>
      </c>
      <c r="Q11" s="155"/>
      <c r="R11" s="7">
        <v>3.9</v>
      </c>
      <c r="S11" s="215"/>
      <c r="T11" s="215"/>
    </row>
    <row r="12" spans="2:20" ht="18.75" customHeight="1">
      <c r="B12" s="304"/>
      <c r="C12" s="139"/>
      <c r="D12" s="300"/>
      <c r="E12" s="155"/>
      <c r="F12" s="7"/>
      <c r="G12" s="154"/>
      <c r="H12" s="155"/>
      <c r="I12" s="7"/>
      <c r="J12" s="154"/>
      <c r="K12" s="155"/>
      <c r="L12" s="16"/>
      <c r="M12" s="154" t="s">
        <v>400</v>
      </c>
      <c r="N12" s="155"/>
      <c r="O12" s="7">
        <v>0.5</v>
      </c>
      <c r="P12" s="154"/>
      <c r="Q12" s="155"/>
      <c r="R12" s="7"/>
      <c r="S12" s="214"/>
      <c r="T12" s="214"/>
    </row>
    <row r="13" spans="2:20" ht="19.5" customHeight="1" thickBot="1">
      <c r="B13" s="304"/>
      <c r="C13" s="140"/>
      <c r="D13" s="160"/>
      <c r="E13" s="159"/>
      <c r="F13" s="9"/>
      <c r="G13" s="160" t="s">
        <v>68</v>
      </c>
      <c r="H13" s="159"/>
      <c r="I13" s="9">
        <v>0.25</v>
      </c>
      <c r="J13" s="160" t="s">
        <v>68</v>
      </c>
      <c r="K13" s="159"/>
      <c r="L13" s="9">
        <v>0.25</v>
      </c>
      <c r="M13" s="160" t="s">
        <v>206</v>
      </c>
      <c r="N13" s="159"/>
      <c r="O13" s="9">
        <v>1.5</v>
      </c>
      <c r="P13" s="160" t="s">
        <v>68</v>
      </c>
      <c r="Q13" s="159"/>
      <c r="R13" s="9">
        <v>0.25</v>
      </c>
      <c r="S13" s="215"/>
      <c r="T13" s="215"/>
    </row>
    <row r="14" spans="2:20" ht="19.5" thickBot="1">
      <c r="B14" s="305"/>
      <c r="C14" s="18" t="s">
        <v>76</v>
      </c>
      <c r="D14" s="17"/>
      <c r="E14" s="17"/>
      <c r="F14" s="18">
        <f>SUM(F4:F13)</f>
        <v>0</v>
      </c>
      <c r="G14" s="17"/>
      <c r="H14" s="17"/>
      <c r="I14" s="18">
        <f>SUM(I4:I13)</f>
        <v>7.75</v>
      </c>
      <c r="J14" s="17"/>
      <c r="K14" s="17"/>
      <c r="L14" s="18">
        <f>SUM(L4:L13)</f>
        <v>7.75</v>
      </c>
      <c r="M14" s="17"/>
      <c r="N14" s="17"/>
      <c r="O14" s="18">
        <f>SUM(O4:O13)</f>
        <v>7.75</v>
      </c>
      <c r="P14" s="17"/>
      <c r="Q14" s="17"/>
      <c r="R14" s="18">
        <f>SUM(R4:R13)</f>
        <v>7.75</v>
      </c>
    </row>
    <row r="15" spans="2:20" ht="18.75" customHeight="1">
      <c r="B15" s="149" t="s">
        <v>32</v>
      </c>
      <c r="C15" s="138" t="s">
        <v>9</v>
      </c>
      <c r="D15" s="219"/>
      <c r="E15" s="220"/>
      <c r="F15" s="21"/>
      <c r="G15" s="293" t="s">
        <v>166</v>
      </c>
      <c r="H15" s="220"/>
      <c r="I15" s="21">
        <v>0.5</v>
      </c>
      <c r="J15" s="293" t="s">
        <v>166</v>
      </c>
      <c r="K15" s="220"/>
      <c r="L15" s="21">
        <v>0.5</v>
      </c>
      <c r="M15" s="293" t="s">
        <v>166</v>
      </c>
      <c r="N15" s="220"/>
      <c r="O15" s="21">
        <v>0.5</v>
      </c>
      <c r="P15" s="293" t="s">
        <v>166</v>
      </c>
      <c r="Q15" s="220"/>
      <c r="R15" s="21">
        <v>0.5</v>
      </c>
    </row>
    <row r="16" spans="2:20">
      <c r="B16" s="150"/>
      <c r="C16" s="139"/>
      <c r="D16" s="216"/>
      <c r="E16" s="163"/>
      <c r="F16" s="20"/>
      <c r="G16" s="162" t="s">
        <v>230</v>
      </c>
      <c r="H16" s="163"/>
      <c r="I16" s="20">
        <v>0.25</v>
      </c>
      <c r="J16" s="162" t="s">
        <v>231</v>
      </c>
      <c r="K16" s="163"/>
      <c r="L16" s="20">
        <v>0.25</v>
      </c>
      <c r="M16" s="162" t="s">
        <v>232</v>
      </c>
      <c r="N16" s="163"/>
      <c r="O16" s="20">
        <v>0.25</v>
      </c>
      <c r="P16" s="216" t="s">
        <v>233</v>
      </c>
      <c r="Q16" s="163"/>
      <c r="R16" s="20">
        <v>0.25</v>
      </c>
    </row>
    <row r="17" spans="2:18">
      <c r="B17" s="150"/>
      <c r="C17" s="139"/>
      <c r="D17" s="167"/>
      <c r="E17" s="168"/>
      <c r="F17" s="12"/>
      <c r="G17" s="157" t="s">
        <v>423</v>
      </c>
      <c r="H17" s="155"/>
      <c r="I17" s="7">
        <v>2</v>
      </c>
      <c r="J17" s="157" t="s">
        <v>424</v>
      </c>
      <c r="K17" s="155"/>
      <c r="L17" s="7">
        <v>1.25</v>
      </c>
      <c r="M17" s="167" t="s">
        <v>425</v>
      </c>
      <c r="N17" s="168"/>
      <c r="O17" s="7">
        <v>2</v>
      </c>
      <c r="P17" s="157" t="s">
        <v>295</v>
      </c>
      <c r="Q17" s="155"/>
      <c r="R17" s="7">
        <v>0.5</v>
      </c>
    </row>
    <row r="18" spans="2:18">
      <c r="B18" s="150"/>
      <c r="C18" s="139"/>
      <c r="D18" s="154"/>
      <c r="E18" s="155"/>
      <c r="F18" s="43"/>
      <c r="G18" s="162" t="s">
        <v>434</v>
      </c>
      <c r="H18" s="163"/>
      <c r="I18" s="43">
        <v>0.25</v>
      </c>
      <c r="J18" s="167" t="s">
        <v>426</v>
      </c>
      <c r="K18" s="168"/>
      <c r="L18" s="43">
        <v>1</v>
      </c>
      <c r="M18" s="154"/>
      <c r="N18" s="155"/>
      <c r="O18" s="43"/>
      <c r="P18" s="167" t="s">
        <v>433</v>
      </c>
      <c r="Q18" s="168"/>
      <c r="R18" s="43">
        <v>0.1</v>
      </c>
    </row>
    <row r="19" spans="2:18" ht="19.5" thickBot="1">
      <c r="B19" s="150"/>
      <c r="C19" s="140"/>
      <c r="D19" s="217"/>
      <c r="E19" s="218"/>
      <c r="F19" s="9"/>
      <c r="G19" s="217"/>
      <c r="H19" s="218"/>
      <c r="I19" s="9"/>
      <c r="J19" s="217"/>
      <c r="K19" s="218"/>
      <c r="L19" s="9"/>
      <c r="M19" s="335" t="s">
        <v>239</v>
      </c>
      <c r="N19" s="292"/>
      <c r="O19" s="45">
        <v>0.25</v>
      </c>
      <c r="P19" s="217" t="s">
        <v>427</v>
      </c>
      <c r="Q19" s="218"/>
      <c r="R19" s="9">
        <v>1.65</v>
      </c>
    </row>
    <row r="20" spans="2:18" ht="18.75" customHeight="1">
      <c r="B20" s="150"/>
      <c r="C20" s="138" t="s">
        <v>20</v>
      </c>
      <c r="D20" s="157"/>
      <c r="E20" s="155"/>
      <c r="F20" s="43"/>
      <c r="G20" s="157" t="s">
        <v>424</v>
      </c>
      <c r="H20" s="155"/>
      <c r="I20" s="43">
        <v>1.75</v>
      </c>
      <c r="J20" s="167" t="s">
        <v>428</v>
      </c>
      <c r="K20" s="168"/>
      <c r="L20" s="43">
        <v>1.5</v>
      </c>
      <c r="M20" s="167" t="s">
        <v>429</v>
      </c>
      <c r="N20" s="168"/>
      <c r="O20" s="43">
        <v>2</v>
      </c>
      <c r="P20" s="157" t="s">
        <v>430</v>
      </c>
      <c r="Q20" s="155"/>
      <c r="R20" s="43">
        <v>2</v>
      </c>
    </row>
    <row r="21" spans="2:18" ht="18.75" customHeight="1">
      <c r="B21" s="150"/>
      <c r="C21" s="139"/>
      <c r="D21" s="154"/>
      <c r="E21" s="155"/>
      <c r="F21" s="43"/>
      <c r="G21" s="167" t="s">
        <v>426</v>
      </c>
      <c r="H21" s="168"/>
      <c r="I21" s="12">
        <v>2</v>
      </c>
      <c r="J21" s="167" t="s">
        <v>425</v>
      </c>
      <c r="K21" s="168"/>
      <c r="L21" s="7">
        <v>2</v>
      </c>
      <c r="M21" s="167" t="s">
        <v>431</v>
      </c>
      <c r="N21" s="168"/>
      <c r="O21" s="43">
        <v>1.75</v>
      </c>
      <c r="P21" s="167" t="s">
        <v>431</v>
      </c>
      <c r="Q21" s="168"/>
      <c r="R21" s="43">
        <v>2</v>
      </c>
    </row>
    <row r="22" spans="2:18" ht="18.75" customHeight="1">
      <c r="B22" s="150"/>
      <c r="C22" s="139"/>
      <c r="D22" s="157"/>
      <c r="E22" s="155"/>
      <c r="F22" s="7"/>
      <c r="G22" s="157"/>
      <c r="H22" s="155"/>
      <c r="I22" s="7"/>
      <c r="J22" s="157"/>
      <c r="K22" s="155"/>
      <c r="L22" s="7"/>
      <c r="M22" s="167" t="s">
        <v>435</v>
      </c>
      <c r="N22" s="168"/>
      <c r="O22" s="43">
        <v>0.25</v>
      </c>
      <c r="P22" s="157"/>
      <c r="Q22" s="155"/>
      <c r="R22" s="7"/>
    </row>
    <row r="23" spans="2:18" ht="18.75" customHeight="1">
      <c r="B23" s="150"/>
      <c r="C23" s="139"/>
      <c r="D23" s="157"/>
      <c r="E23" s="155"/>
      <c r="F23" s="7"/>
      <c r="G23" s="157" t="s">
        <v>328</v>
      </c>
      <c r="H23" s="155"/>
      <c r="I23" s="7" t="s">
        <v>432</v>
      </c>
      <c r="J23" s="216" t="s">
        <v>245</v>
      </c>
      <c r="K23" s="163"/>
      <c r="L23" s="44">
        <v>0.5</v>
      </c>
      <c r="M23" s="157" t="s">
        <v>328</v>
      </c>
      <c r="N23" s="155"/>
      <c r="O23" s="7" t="s">
        <v>432</v>
      </c>
      <c r="P23" s="157" t="s">
        <v>328</v>
      </c>
      <c r="Q23" s="155"/>
      <c r="R23" s="7" t="s">
        <v>432</v>
      </c>
    </row>
    <row r="24" spans="2:18" ht="19.5" customHeight="1" thickBot="1">
      <c r="B24" s="150"/>
      <c r="C24" s="140"/>
      <c r="D24" s="329"/>
      <c r="E24" s="287"/>
      <c r="F24" s="45"/>
      <c r="G24" s="329" t="s">
        <v>174</v>
      </c>
      <c r="H24" s="287"/>
      <c r="I24" s="45">
        <v>1</v>
      </c>
      <c r="J24" s="329" t="s">
        <v>174</v>
      </c>
      <c r="K24" s="287"/>
      <c r="L24" s="45">
        <v>0.75</v>
      </c>
      <c r="M24" s="329" t="s">
        <v>174</v>
      </c>
      <c r="N24" s="287"/>
      <c r="O24" s="45">
        <v>0.75</v>
      </c>
      <c r="P24" s="329" t="s">
        <v>174</v>
      </c>
      <c r="Q24" s="287"/>
      <c r="R24" s="45">
        <v>0.75</v>
      </c>
    </row>
    <row r="25" spans="2:18" ht="19.5" thickBot="1">
      <c r="B25" s="151"/>
      <c r="C25" s="18" t="s">
        <v>76</v>
      </c>
      <c r="D25" s="17"/>
      <c r="E25" s="17"/>
      <c r="F25" s="18">
        <f>SUM(F15:F24)</f>
        <v>0</v>
      </c>
      <c r="G25" s="17"/>
      <c r="H25" s="17"/>
      <c r="I25" s="18">
        <f>SUM(I15:I24)</f>
        <v>7.75</v>
      </c>
      <c r="J25" s="17"/>
      <c r="K25" s="17"/>
      <c r="L25" s="18">
        <f>SUM(L15:L24)</f>
        <v>7.75</v>
      </c>
      <c r="M25" s="17"/>
      <c r="N25" s="17"/>
      <c r="O25" s="18">
        <f>SUM(O15:O24)</f>
        <v>7.75</v>
      </c>
      <c r="P25" s="17"/>
      <c r="Q25" s="17"/>
      <c r="R25" s="18">
        <f>SUM(R15:R24)</f>
        <v>7.75</v>
      </c>
    </row>
    <row r="26" spans="2:18" ht="18.75" customHeight="1">
      <c r="B26" s="149" t="s">
        <v>65</v>
      </c>
      <c r="C26" s="138" t="s">
        <v>9</v>
      </c>
      <c r="D26" s="152"/>
      <c r="E26" s="153"/>
      <c r="F26" s="6"/>
      <c r="G26" s="330" t="s">
        <v>410</v>
      </c>
      <c r="H26" s="331"/>
      <c r="I26" s="7">
        <v>1.5</v>
      </c>
      <c r="J26" s="330" t="s">
        <v>411</v>
      </c>
      <c r="K26" s="331"/>
      <c r="L26" s="7">
        <v>1.5</v>
      </c>
      <c r="M26" s="330" t="s">
        <v>333</v>
      </c>
      <c r="N26" s="331"/>
      <c r="O26" s="7">
        <v>1.5</v>
      </c>
      <c r="P26" s="330" t="s">
        <v>37</v>
      </c>
      <c r="Q26" s="331"/>
      <c r="R26" s="7">
        <v>0.5</v>
      </c>
    </row>
    <row r="27" spans="2:18" ht="18.75" customHeight="1">
      <c r="B27" s="150"/>
      <c r="C27" s="139"/>
      <c r="D27" s="157"/>
      <c r="E27" s="155"/>
      <c r="F27" s="7"/>
      <c r="G27" s="325" t="s">
        <v>412</v>
      </c>
      <c r="H27" s="326"/>
      <c r="I27" s="7">
        <v>1.5</v>
      </c>
      <c r="J27" s="325" t="s">
        <v>413</v>
      </c>
      <c r="K27" s="326"/>
      <c r="L27" s="7">
        <v>1</v>
      </c>
      <c r="M27" s="325" t="s">
        <v>418</v>
      </c>
      <c r="N27" s="326"/>
      <c r="O27" s="7">
        <v>0.5</v>
      </c>
      <c r="P27" s="325" t="s">
        <v>419</v>
      </c>
      <c r="Q27" s="326"/>
      <c r="R27" s="7">
        <v>2</v>
      </c>
    </row>
    <row r="28" spans="2:18" ht="18.75" customHeight="1">
      <c r="B28" s="150"/>
      <c r="C28" s="139"/>
      <c r="D28" s="157"/>
      <c r="E28" s="155"/>
      <c r="F28" s="7"/>
      <c r="G28" s="154" t="s">
        <v>367</v>
      </c>
      <c r="H28" s="155"/>
      <c r="I28" s="12" t="s">
        <v>368</v>
      </c>
      <c r="J28" s="154"/>
      <c r="K28" s="155"/>
      <c r="L28" s="12"/>
      <c r="M28" s="154" t="s">
        <v>420</v>
      </c>
      <c r="N28" s="155"/>
      <c r="O28" s="12">
        <v>0.75</v>
      </c>
      <c r="P28" s="154"/>
      <c r="Q28" s="155"/>
      <c r="R28" s="12"/>
    </row>
    <row r="29" spans="2:18" ht="18.75" customHeight="1">
      <c r="B29" s="150"/>
      <c r="C29" s="139"/>
      <c r="D29" s="157"/>
      <c r="E29" s="155"/>
      <c r="F29" s="7"/>
      <c r="G29" s="154"/>
      <c r="H29" s="155"/>
      <c r="I29" s="12"/>
      <c r="J29" s="154"/>
      <c r="K29" s="155"/>
      <c r="L29" s="12"/>
      <c r="M29" s="154"/>
      <c r="N29" s="155"/>
      <c r="O29" s="12"/>
      <c r="P29" s="154"/>
      <c r="Q29" s="155"/>
      <c r="R29" s="12"/>
    </row>
    <row r="30" spans="2:18" ht="19.5" customHeight="1" thickBot="1">
      <c r="B30" s="150"/>
      <c r="C30" s="140"/>
      <c r="D30" s="158"/>
      <c r="E30" s="159"/>
      <c r="F30" s="9"/>
      <c r="G30" s="161"/>
      <c r="H30" s="159"/>
      <c r="I30" s="9"/>
      <c r="J30" s="161"/>
      <c r="K30" s="159"/>
      <c r="L30" s="9"/>
      <c r="M30" s="161"/>
      <c r="N30" s="159"/>
      <c r="O30" s="9"/>
      <c r="P30" s="161"/>
      <c r="Q30" s="159"/>
      <c r="R30" s="9"/>
    </row>
    <row r="31" spans="2:18" ht="18.75" customHeight="1">
      <c r="B31" s="150"/>
      <c r="C31" s="138" t="s">
        <v>20</v>
      </c>
      <c r="D31" s="152"/>
      <c r="E31" s="153"/>
      <c r="F31" s="6"/>
      <c r="G31" s="154" t="s">
        <v>415</v>
      </c>
      <c r="H31" s="155"/>
      <c r="I31" s="7">
        <v>2</v>
      </c>
      <c r="J31" s="154" t="s">
        <v>37</v>
      </c>
      <c r="K31" s="155"/>
      <c r="L31" s="7">
        <v>0.5</v>
      </c>
      <c r="M31" s="154" t="s">
        <v>421</v>
      </c>
      <c r="N31" s="155"/>
      <c r="O31" s="7">
        <v>0.25</v>
      </c>
      <c r="P31" s="156" t="s">
        <v>415</v>
      </c>
      <c r="Q31" s="153"/>
      <c r="R31" s="7">
        <v>2.5</v>
      </c>
    </row>
    <row r="32" spans="2:18" ht="18.75" customHeight="1">
      <c r="B32" s="150"/>
      <c r="C32" s="139"/>
      <c r="D32" s="162"/>
      <c r="E32" s="163"/>
      <c r="F32" s="20"/>
      <c r="G32" s="154" t="s">
        <v>416</v>
      </c>
      <c r="H32" s="155"/>
      <c r="I32" s="7">
        <v>2</v>
      </c>
      <c r="J32" s="154" t="s">
        <v>414</v>
      </c>
      <c r="K32" s="155"/>
      <c r="L32" s="7">
        <v>1</v>
      </c>
      <c r="M32" s="154" t="s">
        <v>422</v>
      </c>
      <c r="N32" s="155"/>
      <c r="O32" s="7">
        <v>2</v>
      </c>
      <c r="P32" s="154" t="s">
        <v>422</v>
      </c>
      <c r="Q32" s="155"/>
      <c r="R32" s="7">
        <v>2</v>
      </c>
    </row>
    <row r="33" spans="2:18" ht="18.75" customHeight="1">
      <c r="B33" s="150"/>
      <c r="C33" s="139"/>
      <c r="D33" s="157"/>
      <c r="E33" s="155"/>
      <c r="F33" s="7"/>
      <c r="G33" s="154"/>
      <c r="H33" s="155"/>
      <c r="I33" s="7"/>
      <c r="J33" s="154" t="s">
        <v>415</v>
      </c>
      <c r="K33" s="155"/>
      <c r="L33" s="7">
        <v>1</v>
      </c>
      <c r="M33" s="154" t="s">
        <v>415</v>
      </c>
      <c r="N33" s="155"/>
      <c r="O33" s="7">
        <v>2</v>
      </c>
      <c r="P33" s="154"/>
      <c r="Q33" s="155"/>
      <c r="R33" s="7"/>
    </row>
    <row r="34" spans="2:18" ht="18.75" customHeight="1">
      <c r="B34" s="150"/>
      <c r="C34" s="139"/>
      <c r="D34" s="157"/>
      <c r="E34" s="155"/>
      <c r="F34" s="7"/>
      <c r="G34" s="154"/>
      <c r="H34" s="155"/>
      <c r="I34" s="7"/>
      <c r="J34" s="154" t="s">
        <v>417</v>
      </c>
      <c r="K34" s="155"/>
      <c r="L34" s="7">
        <v>2</v>
      </c>
      <c r="M34" s="154"/>
      <c r="N34" s="155"/>
      <c r="O34" s="7"/>
      <c r="P34" s="154"/>
      <c r="Q34" s="155"/>
      <c r="R34" s="7"/>
    </row>
    <row r="35" spans="2:18" ht="19.5" customHeight="1" thickBot="1">
      <c r="B35" s="150"/>
      <c r="C35" s="140"/>
      <c r="D35" s="88"/>
      <c r="E35" s="85"/>
      <c r="F35" s="59"/>
      <c r="G35" s="161"/>
      <c r="H35" s="159"/>
      <c r="I35" s="9"/>
      <c r="J35" s="161"/>
      <c r="K35" s="159"/>
      <c r="L35" s="9"/>
      <c r="M35" s="161"/>
      <c r="N35" s="159"/>
      <c r="O35" s="9"/>
      <c r="P35" s="161"/>
      <c r="Q35" s="159"/>
      <c r="R35" s="9"/>
    </row>
    <row r="36" spans="2:18" ht="19.5" thickBot="1">
      <c r="B36" s="151"/>
      <c r="C36" s="18" t="s">
        <v>76</v>
      </c>
      <c r="D36" s="17"/>
      <c r="E36" s="17"/>
      <c r="F36" s="18">
        <f>SUM(F26:F35)</f>
        <v>0</v>
      </c>
      <c r="G36" s="17"/>
      <c r="H36" s="17"/>
      <c r="I36" s="18">
        <f>SUM(I26:I35)</f>
        <v>7</v>
      </c>
      <c r="J36" s="17"/>
      <c r="K36" s="17"/>
      <c r="L36" s="18">
        <f>SUM(L26:L35)</f>
        <v>7</v>
      </c>
      <c r="M36" s="17"/>
      <c r="N36" s="17"/>
      <c r="O36" s="18">
        <f>SUM(O26:O35)</f>
        <v>7</v>
      </c>
      <c r="P36" s="17"/>
      <c r="Q36" s="17"/>
      <c r="R36" s="18">
        <f>SUM(R26:R35)</f>
        <v>7</v>
      </c>
    </row>
    <row r="37" spans="2:18">
      <c r="B37" s="149" t="s">
        <v>146</v>
      </c>
      <c r="C37" s="138" t="s">
        <v>9</v>
      </c>
      <c r="D37" s="323"/>
      <c r="E37" s="324"/>
      <c r="F37" s="61"/>
      <c r="G37" s="323"/>
      <c r="H37" s="324"/>
      <c r="I37" s="61"/>
      <c r="J37" s="323"/>
      <c r="K37" s="324"/>
      <c r="L37" s="61"/>
      <c r="M37" s="323"/>
      <c r="N37" s="324"/>
      <c r="O37" s="61"/>
      <c r="P37" s="323"/>
      <c r="Q37" s="324"/>
      <c r="R37" s="61"/>
    </row>
    <row r="38" spans="2:18">
      <c r="B38" s="150"/>
      <c r="C38" s="139"/>
      <c r="D38" s="318"/>
      <c r="E38" s="317"/>
      <c r="F38" s="62"/>
      <c r="G38" s="318"/>
      <c r="H38" s="317"/>
      <c r="I38" s="62"/>
      <c r="J38" s="318"/>
      <c r="K38" s="317"/>
      <c r="L38" s="62"/>
      <c r="M38" s="318"/>
      <c r="N38" s="317"/>
      <c r="O38" s="62"/>
      <c r="P38" s="318"/>
      <c r="Q38" s="317"/>
      <c r="R38" s="62"/>
    </row>
    <row r="39" spans="2:18">
      <c r="B39" s="150"/>
      <c r="C39" s="139"/>
      <c r="D39" s="318"/>
      <c r="E39" s="317"/>
      <c r="F39" s="32"/>
      <c r="G39" s="318"/>
      <c r="H39" s="317"/>
      <c r="I39" s="32"/>
      <c r="J39" s="318"/>
      <c r="K39" s="317"/>
      <c r="L39" s="32"/>
      <c r="M39" s="318"/>
      <c r="N39" s="317"/>
      <c r="O39" s="32"/>
      <c r="P39" s="318"/>
      <c r="Q39" s="317"/>
      <c r="R39" s="32"/>
    </row>
    <row r="40" spans="2:18">
      <c r="B40" s="150"/>
      <c r="C40" s="139"/>
      <c r="D40" s="318"/>
      <c r="E40" s="317"/>
      <c r="F40" s="32"/>
      <c r="G40" s="318"/>
      <c r="H40" s="317"/>
      <c r="I40" s="32"/>
      <c r="J40" s="318"/>
      <c r="K40" s="317"/>
      <c r="L40" s="32"/>
      <c r="M40" s="318"/>
      <c r="N40" s="317"/>
      <c r="O40" s="32"/>
      <c r="P40" s="318"/>
      <c r="Q40" s="317"/>
      <c r="R40" s="32"/>
    </row>
    <row r="41" spans="2:18" ht="19.5" thickBot="1">
      <c r="B41" s="150"/>
      <c r="C41" s="140"/>
      <c r="D41" s="319"/>
      <c r="E41" s="320"/>
      <c r="F41" s="59"/>
      <c r="G41" s="321"/>
      <c r="H41" s="322"/>
      <c r="I41" s="59"/>
      <c r="J41" s="321"/>
      <c r="K41" s="322"/>
      <c r="L41" s="59"/>
      <c r="M41" s="321"/>
      <c r="N41" s="322"/>
      <c r="O41" s="59"/>
      <c r="P41" s="321"/>
      <c r="Q41" s="322"/>
      <c r="R41" s="59"/>
    </row>
    <row r="42" spans="2:18">
      <c r="B42" s="150"/>
      <c r="C42" s="138" t="s">
        <v>20</v>
      </c>
      <c r="D42" s="318"/>
      <c r="E42" s="317"/>
      <c r="F42" s="69"/>
      <c r="G42" s="318"/>
      <c r="H42" s="317"/>
      <c r="I42" s="69"/>
      <c r="J42" s="318"/>
      <c r="K42" s="317"/>
      <c r="L42" s="69"/>
      <c r="M42" s="318"/>
      <c r="N42" s="317"/>
      <c r="O42" s="69"/>
      <c r="P42" s="318"/>
      <c r="Q42" s="317"/>
      <c r="R42" s="69"/>
    </row>
    <row r="43" spans="2:18">
      <c r="B43" s="150"/>
      <c r="C43" s="139"/>
      <c r="D43" s="318"/>
      <c r="E43" s="317"/>
      <c r="F43" s="69"/>
      <c r="G43" s="316"/>
      <c r="H43" s="317"/>
      <c r="I43" s="69"/>
      <c r="J43" s="316"/>
      <c r="K43" s="317"/>
      <c r="L43" s="69"/>
      <c r="M43" s="318"/>
      <c r="N43" s="317"/>
      <c r="O43" s="69"/>
      <c r="P43" s="318"/>
      <c r="Q43" s="317"/>
      <c r="R43" s="69"/>
    </row>
    <row r="44" spans="2:18">
      <c r="B44" s="150"/>
      <c r="C44" s="139"/>
      <c r="D44" s="316"/>
      <c r="E44" s="317"/>
      <c r="F44" s="69"/>
      <c r="G44" s="318"/>
      <c r="H44" s="317"/>
      <c r="I44" s="69"/>
      <c r="J44" s="318"/>
      <c r="K44" s="317"/>
      <c r="L44" s="69"/>
      <c r="M44" s="316"/>
      <c r="N44" s="317"/>
      <c r="O44" s="69"/>
      <c r="P44" s="316"/>
      <c r="Q44" s="317"/>
      <c r="R44" s="69"/>
    </row>
    <row r="45" spans="2:18">
      <c r="B45" s="150"/>
      <c r="C45" s="139"/>
      <c r="D45" s="316"/>
      <c r="E45" s="317"/>
      <c r="F45" s="69"/>
      <c r="G45" s="318"/>
      <c r="H45" s="317"/>
      <c r="I45" s="69"/>
      <c r="J45" s="316"/>
      <c r="K45" s="317"/>
      <c r="L45" s="69"/>
      <c r="M45" s="316"/>
      <c r="N45" s="317"/>
      <c r="O45" s="69"/>
      <c r="P45" s="316"/>
      <c r="Q45" s="317"/>
      <c r="R45" s="69"/>
    </row>
    <row r="46" spans="2:18" ht="19.5" thickBot="1">
      <c r="B46" s="150"/>
      <c r="C46" s="140"/>
      <c r="D46" s="314"/>
      <c r="E46" s="315"/>
      <c r="F46" s="70"/>
      <c r="G46" s="314"/>
      <c r="H46" s="315"/>
      <c r="I46" s="70"/>
      <c r="J46" s="314"/>
      <c r="K46" s="315"/>
      <c r="L46" s="70"/>
      <c r="M46" s="314"/>
      <c r="N46" s="315"/>
      <c r="O46" s="70"/>
      <c r="P46" s="314"/>
      <c r="Q46" s="315"/>
      <c r="R46" s="70"/>
    </row>
    <row r="47" spans="2:18" ht="19.5" thickBot="1">
      <c r="B47" s="151"/>
      <c r="C47" s="18" t="s">
        <v>76</v>
      </c>
      <c r="D47" s="17"/>
      <c r="E47" s="17"/>
      <c r="F47" s="18">
        <f>SUM(F37:F46)</f>
        <v>0</v>
      </c>
      <c r="G47" s="17"/>
      <c r="H47" s="17"/>
      <c r="I47" s="18">
        <f>SUM(I37:I46)</f>
        <v>0</v>
      </c>
      <c r="J47" s="17"/>
      <c r="K47" s="17"/>
      <c r="L47" s="18">
        <f>SUM(L37:L46)</f>
        <v>0</v>
      </c>
      <c r="M47" s="17"/>
      <c r="N47" s="17"/>
      <c r="O47" s="18">
        <f>SUM(O37:O46)</f>
        <v>0</v>
      </c>
      <c r="P47" s="17"/>
      <c r="Q47" s="17"/>
      <c r="R47" s="18">
        <f>SUM(R37:R46)</f>
        <v>0</v>
      </c>
    </row>
    <row r="49" spans="2:6">
      <c r="B49" s="294" t="s">
        <v>182</v>
      </c>
      <c r="C49" s="295"/>
      <c r="D49" s="49" t="s">
        <v>183</v>
      </c>
      <c r="E49" s="296" t="s">
        <v>184</v>
      </c>
      <c r="F49" s="296"/>
    </row>
  </sheetData>
  <mergeCells count="238">
    <mergeCell ref="D33:E33"/>
    <mergeCell ref="D34:E34"/>
    <mergeCell ref="D27:E27"/>
    <mergeCell ref="D28:E28"/>
    <mergeCell ref="D29:E29"/>
    <mergeCell ref="D30:E30"/>
    <mergeCell ref="D31:E31"/>
    <mergeCell ref="D32:E32"/>
    <mergeCell ref="D46:E46"/>
    <mergeCell ref="G46:H46"/>
    <mergeCell ref="J46:K46"/>
    <mergeCell ref="M46:N46"/>
    <mergeCell ref="P46:Q46"/>
    <mergeCell ref="B49:C49"/>
    <mergeCell ref="E49:F49"/>
    <mergeCell ref="D44:E44"/>
    <mergeCell ref="G44:H44"/>
    <mergeCell ref="J44:K44"/>
    <mergeCell ref="M44:N44"/>
    <mergeCell ref="P44:Q44"/>
    <mergeCell ref="D45:E45"/>
    <mergeCell ref="G45:H45"/>
    <mergeCell ref="J45:K45"/>
    <mergeCell ref="M45:N45"/>
    <mergeCell ref="P45:Q45"/>
    <mergeCell ref="C42:C46"/>
    <mergeCell ref="B37:B47"/>
    <mergeCell ref="C37:C41"/>
    <mergeCell ref="P42:Q42"/>
    <mergeCell ref="D43:E43"/>
    <mergeCell ref="G43:H43"/>
    <mergeCell ref="J43:K43"/>
    <mergeCell ref="M43:N43"/>
    <mergeCell ref="P43:Q43"/>
    <mergeCell ref="D41:E41"/>
    <mergeCell ref="G41:H41"/>
    <mergeCell ref="J41:K41"/>
    <mergeCell ref="M41:N41"/>
    <mergeCell ref="P41:Q41"/>
    <mergeCell ref="D42:E42"/>
    <mergeCell ref="G42:H42"/>
    <mergeCell ref="J42:K42"/>
    <mergeCell ref="M42:N42"/>
    <mergeCell ref="G33:H33"/>
    <mergeCell ref="J33:K33"/>
    <mergeCell ref="M33:N33"/>
    <mergeCell ref="P33:Q33"/>
    <mergeCell ref="P39:Q39"/>
    <mergeCell ref="D40:E40"/>
    <mergeCell ref="G40:H40"/>
    <mergeCell ref="J40:K40"/>
    <mergeCell ref="M40:N40"/>
    <mergeCell ref="P40:Q40"/>
    <mergeCell ref="P37:Q37"/>
    <mergeCell ref="D38:E38"/>
    <mergeCell ref="G38:H38"/>
    <mergeCell ref="J38:K38"/>
    <mergeCell ref="M38:N38"/>
    <mergeCell ref="P38:Q38"/>
    <mergeCell ref="D37:E37"/>
    <mergeCell ref="G37:H37"/>
    <mergeCell ref="J37:K37"/>
    <mergeCell ref="M37:N37"/>
    <mergeCell ref="D39:E39"/>
    <mergeCell ref="G39:H39"/>
    <mergeCell ref="J39:K39"/>
    <mergeCell ref="M39:N39"/>
    <mergeCell ref="J27:K27"/>
    <mergeCell ref="M27:N27"/>
    <mergeCell ref="P27:Q27"/>
    <mergeCell ref="G30:H30"/>
    <mergeCell ref="J30:K30"/>
    <mergeCell ref="M30:N30"/>
    <mergeCell ref="P30:Q30"/>
    <mergeCell ref="C31:C35"/>
    <mergeCell ref="G31:H31"/>
    <mergeCell ref="J31:K31"/>
    <mergeCell ref="M31:N31"/>
    <mergeCell ref="P31:Q31"/>
    <mergeCell ref="G32:H32"/>
    <mergeCell ref="G34:H34"/>
    <mergeCell ref="J34:K34"/>
    <mergeCell ref="M34:N34"/>
    <mergeCell ref="P34:Q34"/>
    <mergeCell ref="G35:H35"/>
    <mergeCell ref="J35:K35"/>
    <mergeCell ref="M35:N35"/>
    <mergeCell ref="P35:Q35"/>
    <mergeCell ref="J32:K32"/>
    <mergeCell ref="M32:N32"/>
    <mergeCell ref="P32:Q32"/>
    <mergeCell ref="D24:E24"/>
    <mergeCell ref="G24:H24"/>
    <mergeCell ref="J24:K24"/>
    <mergeCell ref="M24:N24"/>
    <mergeCell ref="P24:Q24"/>
    <mergeCell ref="B26:B36"/>
    <mergeCell ref="C26:C30"/>
    <mergeCell ref="D26:E26"/>
    <mergeCell ref="G26:H26"/>
    <mergeCell ref="J26:K26"/>
    <mergeCell ref="C20:C24"/>
    <mergeCell ref="B15:B25"/>
    <mergeCell ref="C15:C19"/>
    <mergeCell ref="G28:H28"/>
    <mergeCell ref="J28:K28"/>
    <mergeCell ref="M28:N28"/>
    <mergeCell ref="P28:Q28"/>
    <mergeCell ref="G29:H29"/>
    <mergeCell ref="J29:K29"/>
    <mergeCell ref="M29:N29"/>
    <mergeCell ref="P29:Q29"/>
    <mergeCell ref="M26:N26"/>
    <mergeCell ref="P26:Q26"/>
    <mergeCell ref="G27:H27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D20:E20"/>
    <mergeCell ref="G20:H20"/>
    <mergeCell ref="J20:K20"/>
    <mergeCell ref="M20:N20"/>
    <mergeCell ref="D18:E18"/>
    <mergeCell ref="G18:H18"/>
    <mergeCell ref="J18:K18"/>
    <mergeCell ref="M18:N18"/>
    <mergeCell ref="P18:Q18"/>
    <mergeCell ref="P15:Q15"/>
    <mergeCell ref="D16:E16"/>
    <mergeCell ref="G16:H16"/>
    <mergeCell ref="J16:K16"/>
    <mergeCell ref="M16:N16"/>
    <mergeCell ref="P16:Q16"/>
    <mergeCell ref="D15:E15"/>
    <mergeCell ref="G15:H15"/>
    <mergeCell ref="J15:K15"/>
    <mergeCell ref="M15:N15"/>
    <mergeCell ref="D17:E17"/>
    <mergeCell ref="G17:H17"/>
    <mergeCell ref="J17:K17"/>
    <mergeCell ref="M17:N17"/>
    <mergeCell ref="S13:T13"/>
    <mergeCell ref="S11:T11"/>
    <mergeCell ref="D12:E12"/>
    <mergeCell ref="G12:H12"/>
    <mergeCell ref="J12:K12"/>
    <mergeCell ref="M12:N12"/>
    <mergeCell ref="P12:Q12"/>
    <mergeCell ref="S12:T12"/>
    <mergeCell ref="P17:Q17"/>
    <mergeCell ref="P11:Q11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3:E13"/>
    <mergeCell ref="G13:H13"/>
    <mergeCell ref="J13:K13"/>
    <mergeCell ref="M13:N13"/>
    <mergeCell ref="P13:Q13"/>
    <mergeCell ref="S8:T8"/>
    <mergeCell ref="G6:H6"/>
    <mergeCell ref="J6:K6"/>
    <mergeCell ref="M6:N6"/>
    <mergeCell ref="P6:Q6"/>
    <mergeCell ref="S6:T6"/>
    <mergeCell ref="D7:E7"/>
    <mergeCell ref="G7:H7"/>
    <mergeCell ref="J7:K7"/>
    <mergeCell ref="M7:N7"/>
    <mergeCell ref="P7:Q7"/>
    <mergeCell ref="S4:T4"/>
    <mergeCell ref="D5:E5"/>
    <mergeCell ref="G5:H5"/>
    <mergeCell ref="J5:K5"/>
    <mergeCell ref="M5:N5"/>
    <mergeCell ref="P5:Q5"/>
    <mergeCell ref="S5:T5"/>
    <mergeCell ref="Q2:Q3"/>
    <mergeCell ref="R2:R3"/>
    <mergeCell ref="B4:B14"/>
    <mergeCell ref="C4:C8"/>
    <mergeCell ref="D4:E4"/>
    <mergeCell ref="G4:H4"/>
    <mergeCell ref="J4:K4"/>
    <mergeCell ref="M4:N4"/>
    <mergeCell ref="P4:Q4"/>
    <mergeCell ref="D6:E6"/>
    <mergeCell ref="K2:K3"/>
    <mergeCell ref="L2:L3"/>
    <mergeCell ref="M2:M3"/>
    <mergeCell ref="N2:N3"/>
    <mergeCell ref="O2:O3"/>
    <mergeCell ref="P2:P3"/>
    <mergeCell ref="D8:E8"/>
    <mergeCell ref="G8:H8"/>
    <mergeCell ref="J8:K8"/>
    <mergeCell ref="M8:N8"/>
    <mergeCell ref="P8:Q8"/>
    <mergeCell ref="P10:Q10"/>
    <mergeCell ref="D11:E11"/>
    <mergeCell ref="G11:H11"/>
    <mergeCell ref="J11:K11"/>
    <mergeCell ref="M11:N11"/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</mergeCells>
  <phoneticPr fontId="1"/>
  <pageMargins left="0.7" right="0.7" top="0.75" bottom="0.75" header="0.3" footer="0.3"/>
  <pageSetup paperSize="8" scale="67" orientation="landscape" horizontalDpi="1200" verticalDpi="1200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BC06C-E3B2-474A-AD33-3AAA9090A1B1}">
  <sheetPr codeName="Sheet2"/>
  <dimension ref="B1:T49"/>
  <sheetViews>
    <sheetView view="pageBreakPreview" topLeftCell="A7" zoomScale="70" zoomScaleNormal="100" zoomScaleSheetLayoutView="70" workbookViewId="0">
      <selection activeCell="B37" sqref="B37:B47"/>
    </sheetView>
  </sheetViews>
  <sheetFormatPr defaultRowHeight="18.75"/>
  <cols>
    <col min="1" max="1" width="2.5" customWidth="1"/>
    <col min="4" max="18" width="16" customWidth="1"/>
  </cols>
  <sheetData>
    <row r="1" spans="2:20" ht="24.75" thickBot="1">
      <c r="D1" s="53">
        <v>45551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20" s="5" customFormat="1">
      <c r="B2" s="201"/>
      <c r="C2" s="202"/>
      <c r="D2" s="205">
        <f>D1</f>
        <v>45551</v>
      </c>
      <c r="E2" s="195" t="s">
        <v>3</v>
      </c>
      <c r="F2" s="191" t="s">
        <v>4</v>
      </c>
      <c r="G2" s="197">
        <f>D2+1</f>
        <v>45552</v>
      </c>
      <c r="H2" s="195" t="s">
        <v>5</v>
      </c>
      <c r="I2" s="191" t="s">
        <v>4</v>
      </c>
      <c r="J2" s="197">
        <f>G2+1</f>
        <v>45553</v>
      </c>
      <c r="K2" s="195" t="s">
        <v>6</v>
      </c>
      <c r="L2" s="191" t="s">
        <v>4</v>
      </c>
      <c r="M2" s="197">
        <f>J2+1</f>
        <v>45554</v>
      </c>
      <c r="N2" s="195" t="s">
        <v>7</v>
      </c>
      <c r="O2" s="191" t="s">
        <v>4</v>
      </c>
      <c r="P2" s="197">
        <f>M2+1</f>
        <v>45555</v>
      </c>
      <c r="Q2" s="195" t="s">
        <v>8</v>
      </c>
      <c r="R2" s="191" t="s">
        <v>4</v>
      </c>
    </row>
    <row r="3" spans="2:20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20" ht="18.75" customHeight="1">
      <c r="B4" s="303" t="s">
        <v>31</v>
      </c>
      <c r="C4" s="138" t="s">
        <v>9</v>
      </c>
      <c r="D4" s="338" t="s">
        <v>394</v>
      </c>
      <c r="E4" s="339"/>
      <c r="F4" s="6"/>
      <c r="G4" s="264" t="s">
        <v>67</v>
      </c>
      <c r="H4" s="153"/>
      <c r="I4" s="6">
        <v>0.5</v>
      </c>
      <c r="J4" s="264" t="s">
        <v>67</v>
      </c>
      <c r="K4" s="153"/>
      <c r="L4" s="6">
        <v>0.5</v>
      </c>
      <c r="M4" s="264" t="s">
        <v>67</v>
      </c>
      <c r="N4" s="153"/>
      <c r="O4" s="6">
        <v>0.5</v>
      </c>
      <c r="P4" s="264" t="s">
        <v>67</v>
      </c>
      <c r="Q4" s="153"/>
      <c r="R4" s="6">
        <v>0.5</v>
      </c>
      <c r="S4" s="211"/>
      <c r="T4" s="211"/>
    </row>
    <row r="5" spans="2:20" ht="18.75" customHeight="1">
      <c r="B5" s="304"/>
      <c r="C5" s="139"/>
      <c r="D5" s="157"/>
      <c r="E5" s="155"/>
      <c r="F5" s="7"/>
      <c r="G5" s="157" t="s">
        <v>71</v>
      </c>
      <c r="H5" s="155"/>
      <c r="I5" s="7">
        <v>0.1</v>
      </c>
      <c r="J5" s="157" t="s">
        <v>71</v>
      </c>
      <c r="K5" s="155"/>
      <c r="L5" s="7">
        <v>0.1</v>
      </c>
      <c r="M5" s="157" t="s">
        <v>71</v>
      </c>
      <c r="N5" s="155"/>
      <c r="O5" s="7">
        <v>0.1</v>
      </c>
      <c r="P5" s="157" t="s">
        <v>71</v>
      </c>
      <c r="Q5" s="155"/>
      <c r="R5" s="7">
        <v>0.1</v>
      </c>
      <c r="S5" s="211"/>
      <c r="T5" s="211"/>
    </row>
    <row r="6" spans="2:20" ht="18.75" customHeight="1">
      <c r="B6" s="304"/>
      <c r="C6" s="139"/>
      <c r="D6" s="226"/>
      <c r="E6" s="227"/>
      <c r="F6" s="66"/>
      <c r="G6" s="154" t="s">
        <v>395</v>
      </c>
      <c r="H6" s="155"/>
      <c r="I6" s="7">
        <v>0.5</v>
      </c>
      <c r="J6" s="154" t="s">
        <v>395</v>
      </c>
      <c r="K6" s="155"/>
      <c r="L6" s="7">
        <v>0.5</v>
      </c>
      <c r="M6" s="154" t="s">
        <v>395</v>
      </c>
      <c r="N6" s="155"/>
      <c r="O6" s="7">
        <v>0.5</v>
      </c>
      <c r="P6" s="154" t="s">
        <v>395</v>
      </c>
      <c r="Q6" s="155"/>
      <c r="R6" s="7">
        <v>0.5</v>
      </c>
      <c r="S6" s="212"/>
      <c r="T6" s="212"/>
    </row>
    <row r="7" spans="2:20" ht="18.75" customHeight="1">
      <c r="B7" s="304"/>
      <c r="C7" s="139"/>
      <c r="D7" s="154"/>
      <c r="E7" s="155"/>
      <c r="F7" s="7"/>
      <c r="G7" s="226" t="s">
        <v>396</v>
      </c>
      <c r="H7" s="227"/>
      <c r="I7" s="7">
        <v>0.5</v>
      </c>
      <c r="J7" s="154" t="s">
        <v>401</v>
      </c>
      <c r="K7" s="155"/>
      <c r="L7" s="16">
        <v>1</v>
      </c>
      <c r="M7" s="154" t="s">
        <v>402</v>
      </c>
      <c r="N7" s="155"/>
      <c r="O7" s="16">
        <v>1</v>
      </c>
      <c r="P7" s="154" t="s">
        <v>399</v>
      </c>
      <c r="Q7" s="155"/>
      <c r="R7" s="7">
        <v>1.5</v>
      </c>
      <c r="S7" s="8"/>
      <c r="T7" s="8"/>
    </row>
    <row r="8" spans="2:20" ht="19.5" customHeight="1" thickBot="1">
      <c r="B8" s="304"/>
      <c r="C8" s="140"/>
      <c r="D8" s="340"/>
      <c r="E8" s="218"/>
      <c r="F8" s="57"/>
      <c r="G8" s="160" t="s">
        <v>397</v>
      </c>
      <c r="H8" s="159"/>
      <c r="I8" s="9">
        <v>2</v>
      </c>
      <c r="J8" s="160" t="s">
        <v>405</v>
      </c>
      <c r="K8" s="159"/>
      <c r="L8" s="9">
        <v>0.5</v>
      </c>
      <c r="M8" s="160"/>
      <c r="N8" s="159"/>
      <c r="O8" s="9"/>
      <c r="P8" s="161"/>
      <c r="Q8" s="159"/>
      <c r="R8" s="9"/>
      <c r="S8" s="214"/>
      <c r="T8" s="214"/>
    </row>
    <row r="9" spans="2:20" ht="18.75" customHeight="1">
      <c r="B9" s="304"/>
      <c r="C9" s="138" t="s">
        <v>20</v>
      </c>
      <c r="D9" s="154"/>
      <c r="E9" s="155"/>
      <c r="F9" s="16"/>
      <c r="G9" s="154" t="s">
        <v>398</v>
      </c>
      <c r="H9" s="155"/>
      <c r="I9" s="16">
        <v>3.9</v>
      </c>
      <c r="J9" s="154" t="s">
        <v>406</v>
      </c>
      <c r="K9" s="155"/>
      <c r="L9" s="16">
        <v>1</v>
      </c>
      <c r="M9" s="154" t="s">
        <v>403</v>
      </c>
      <c r="N9" s="155"/>
      <c r="O9" s="16">
        <v>3.65</v>
      </c>
      <c r="P9" s="154" t="s">
        <v>404</v>
      </c>
      <c r="Q9" s="155"/>
      <c r="R9" s="16">
        <v>1</v>
      </c>
      <c r="S9" s="11"/>
      <c r="T9" s="11"/>
    </row>
    <row r="10" spans="2:20" ht="18.75" customHeight="1">
      <c r="B10" s="304"/>
      <c r="C10" s="139"/>
      <c r="D10" s="154"/>
      <c r="E10" s="155"/>
      <c r="F10" s="7"/>
      <c r="G10" s="154"/>
      <c r="H10" s="155"/>
      <c r="I10" s="7"/>
      <c r="J10" s="154" t="s">
        <v>407</v>
      </c>
      <c r="K10" s="155"/>
      <c r="L10" s="16">
        <v>2</v>
      </c>
      <c r="M10" s="154"/>
      <c r="N10" s="155"/>
      <c r="O10" s="7"/>
      <c r="P10" s="154" t="s">
        <v>409</v>
      </c>
      <c r="Q10" s="155"/>
      <c r="R10" s="7">
        <v>3.9</v>
      </c>
      <c r="S10" s="11"/>
      <c r="T10" s="11"/>
    </row>
    <row r="11" spans="2:20" ht="18.75" customHeight="1">
      <c r="B11" s="304"/>
      <c r="C11" s="139"/>
      <c r="D11" s="300"/>
      <c r="E11" s="155"/>
      <c r="F11" s="7"/>
      <c r="G11" s="154"/>
      <c r="H11" s="155"/>
      <c r="I11" s="16"/>
      <c r="J11" s="154" t="s">
        <v>408</v>
      </c>
      <c r="K11" s="155"/>
      <c r="L11" s="16">
        <v>1.9</v>
      </c>
      <c r="M11" s="154"/>
      <c r="N11" s="155"/>
      <c r="O11" s="16"/>
      <c r="P11" s="154"/>
      <c r="Q11" s="155"/>
      <c r="R11" s="16"/>
      <c r="S11" s="215"/>
      <c r="T11" s="215"/>
    </row>
    <row r="12" spans="2:20" ht="18.75" customHeight="1">
      <c r="B12" s="304"/>
      <c r="C12" s="139"/>
      <c r="D12" s="300"/>
      <c r="E12" s="155"/>
      <c r="F12" s="7"/>
      <c r="G12" s="154"/>
      <c r="H12" s="155"/>
      <c r="I12" s="7"/>
      <c r="J12" s="154"/>
      <c r="K12" s="155"/>
      <c r="L12" s="16"/>
      <c r="M12" s="154" t="s">
        <v>400</v>
      </c>
      <c r="N12" s="155"/>
      <c r="O12" s="7">
        <v>0.5</v>
      </c>
      <c r="P12" s="154"/>
      <c r="Q12" s="155"/>
      <c r="R12" s="7"/>
      <c r="S12" s="214"/>
      <c r="T12" s="214"/>
    </row>
    <row r="13" spans="2:20" ht="19.5" customHeight="1" thickBot="1">
      <c r="B13" s="304"/>
      <c r="C13" s="140"/>
      <c r="D13" s="160"/>
      <c r="E13" s="159"/>
      <c r="F13" s="9"/>
      <c r="G13" s="160" t="s">
        <v>68</v>
      </c>
      <c r="H13" s="159"/>
      <c r="I13" s="9">
        <v>0.25</v>
      </c>
      <c r="J13" s="160" t="s">
        <v>68</v>
      </c>
      <c r="K13" s="159"/>
      <c r="L13" s="9">
        <v>0.25</v>
      </c>
      <c r="M13" s="160" t="s">
        <v>206</v>
      </c>
      <c r="N13" s="159"/>
      <c r="O13" s="9">
        <v>1.5</v>
      </c>
      <c r="P13" s="160" t="s">
        <v>68</v>
      </c>
      <c r="Q13" s="159"/>
      <c r="R13" s="9">
        <v>0.25</v>
      </c>
      <c r="S13" s="215"/>
      <c r="T13" s="215"/>
    </row>
    <row r="14" spans="2:20" ht="19.5" thickBot="1">
      <c r="B14" s="305"/>
      <c r="C14" s="18" t="s">
        <v>76</v>
      </c>
      <c r="D14" s="17"/>
      <c r="E14" s="17"/>
      <c r="F14" s="18">
        <f>SUM(F4:F13)</f>
        <v>0</v>
      </c>
      <c r="G14" s="17"/>
      <c r="H14" s="17"/>
      <c r="I14" s="18">
        <f>SUM(I4:I13)</f>
        <v>7.75</v>
      </c>
      <c r="J14" s="17"/>
      <c r="K14" s="17"/>
      <c r="L14" s="18">
        <f>SUM(L4:L13)</f>
        <v>7.75</v>
      </c>
      <c r="M14" s="17"/>
      <c r="N14" s="17"/>
      <c r="O14" s="18">
        <f>SUM(O4:O13)</f>
        <v>7.75</v>
      </c>
      <c r="P14" s="17"/>
      <c r="Q14" s="17"/>
      <c r="R14" s="18">
        <f>SUM(R4:R13)</f>
        <v>7.75</v>
      </c>
    </row>
    <row r="15" spans="2:20" ht="18.75" customHeight="1">
      <c r="B15" s="149" t="s">
        <v>32</v>
      </c>
      <c r="C15" s="138" t="s">
        <v>9</v>
      </c>
      <c r="D15" s="338"/>
      <c r="E15" s="339"/>
      <c r="F15" s="79"/>
      <c r="G15" s="231" t="s">
        <v>166</v>
      </c>
      <c r="H15" s="232"/>
      <c r="I15" s="61">
        <v>0.5</v>
      </c>
      <c r="J15" s="241" t="s">
        <v>166</v>
      </c>
      <c r="K15" s="232"/>
      <c r="L15" s="61">
        <v>0.5</v>
      </c>
      <c r="M15" s="231" t="s">
        <v>166</v>
      </c>
      <c r="N15" s="232"/>
      <c r="O15" s="61">
        <v>0.5</v>
      </c>
      <c r="P15" s="231" t="s">
        <v>166</v>
      </c>
      <c r="Q15" s="232"/>
      <c r="R15" s="61">
        <v>0.5</v>
      </c>
    </row>
    <row r="16" spans="2:20">
      <c r="B16" s="150"/>
      <c r="C16" s="139"/>
      <c r="D16" s="341"/>
      <c r="E16" s="342"/>
      <c r="F16" s="80"/>
      <c r="G16" s="343" t="s">
        <v>230</v>
      </c>
      <c r="H16" s="234"/>
      <c r="I16" s="62">
        <v>0.1</v>
      </c>
      <c r="J16" s="343" t="s">
        <v>231</v>
      </c>
      <c r="K16" s="234"/>
      <c r="L16" s="62">
        <v>0.1</v>
      </c>
      <c r="M16" s="343" t="s">
        <v>232</v>
      </c>
      <c r="N16" s="234"/>
      <c r="O16" s="62">
        <v>0.1</v>
      </c>
      <c r="P16" s="286" t="s">
        <v>233</v>
      </c>
      <c r="Q16" s="234"/>
      <c r="R16" s="62">
        <v>0.1</v>
      </c>
    </row>
    <row r="17" spans="2:18">
      <c r="B17" s="150"/>
      <c r="C17" s="139"/>
      <c r="D17" s="224"/>
      <c r="E17" s="225"/>
      <c r="F17" s="76"/>
      <c r="G17" s="224" t="s">
        <v>390</v>
      </c>
      <c r="H17" s="225"/>
      <c r="I17" s="76">
        <v>2.4</v>
      </c>
      <c r="J17" s="224" t="s">
        <v>390</v>
      </c>
      <c r="K17" s="225"/>
      <c r="L17" s="76">
        <v>1.9</v>
      </c>
      <c r="M17" s="224" t="s">
        <v>383</v>
      </c>
      <c r="N17" s="225"/>
      <c r="O17" s="63">
        <v>1</v>
      </c>
      <c r="P17" s="233" t="s">
        <v>295</v>
      </c>
      <c r="Q17" s="184"/>
      <c r="R17" s="32">
        <v>0.5</v>
      </c>
    </row>
    <row r="18" spans="2:18">
      <c r="B18" s="150"/>
      <c r="C18" s="139"/>
      <c r="D18" s="183"/>
      <c r="E18" s="184"/>
      <c r="F18" s="63"/>
      <c r="G18" s="224"/>
      <c r="H18" s="225"/>
      <c r="I18" s="63"/>
      <c r="J18" s="154" t="s">
        <v>371</v>
      </c>
      <c r="K18" s="155"/>
      <c r="L18" s="7">
        <v>0.5</v>
      </c>
      <c r="M18" s="183" t="s">
        <v>391</v>
      </c>
      <c r="N18" s="184"/>
      <c r="O18" s="63">
        <v>1.4</v>
      </c>
      <c r="P18" s="224" t="s">
        <v>383</v>
      </c>
      <c r="Q18" s="225"/>
      <c r="R18" s="63">
        <v>0.9</v>
      </c>
    </row>
    <row r="19" spans="2:18" ht="19.5" thickBot="1">
      <c r="B19" s="150"/>
      <c r="C19" s="140"/>
      <c r="D19" s="239"/>
      <c r="E19" s="279"/>
      <c r="F19" s="59"/>
      <c r="G19" s="239"/>
      <c r="H19" s="279"/>
      <c r="I19" s="59"/>
      <c r="J19" s="344"/>
      <c r="K19" s="279"/>
      <c r="L19" s="59"/>
      <c r="M19" s="345" t="s">
        <v>239</v>
      </c>
      <c r="N19" s="240"/>
      <c r="O19" s="60">
        <v>0.25</v>
      </c>
      <c r="P19" s="239" t="s">
        <v>392</v>
      </c>
      <c r="Q19" s="279"/>
      <c r="R19" s="59">
        <v>1</v>
      </c>
    </row>
    <row r="20" spans="2:18" ht="18.75" customHeight="1">
      <c r="B20" s="150"/>
      <c r="C20" s="138" t="s">
        <v>20</v>
      </c>
      <c r="D20" s="233"/>
      <c r="E20" s="184"/>
      <c r="F20" s="63"/>
      <c r="G20" s="233" t="s">
        <v>384</v>
      </c>
      <c r="H20" s="184"/>
      <c r="I20" s="63">
        <v>3.25</v>
      </c>
      <c r="J20" s="224" t="s">
        <v>385</v>
      </c>
      <c r="K20" s="225"/>
      <c r="L20" s="63">
        <v>2.75</v>
      </c>
      <c r="M20" s="233" t="s">
        <v>386</v>
      </c>
      <c r="N20" s="184"/>
      <c r="O20" s="63">
        <v>1.5</v>
      </c>
      <c r="P20" s="233" t="s">
        <v>393</v>
      </c>
      <c r="Q20" s="184"/>
      <c r="R20" s="63">
        <v>3.75</v>
      </c>
    </row>
    <row r="21" spans="2:18" ht="18.75" customHeight="1">
      <c r="B21" s="150"/>
      <c r="C21" s="139"/>
      <c r="D21" s="183"/>
      <c r="E21" s="184"/>
      <c r="F21" s="63"/>
      <c r="G21" s="224" t="s">
        <v>387</v>
      </c>
      <c r="H21" s="225"/>
      <c r="I21" s="63">
        <v>0.5</v>
      </c>
      <c r="J21" s="224" t="s">
        <v>383</v>
      </c>
      <c r="K21" s="225"/>
      <c r="L21" s="63">
        <v>0.5</v>
      </c>
      <c r="M21" s="224" t="s">
        <v>388</v>
      </c>
      <c r="N21" s="225"/>
      <c r="O21" s="63">
        <v>2</v>
      </c>
      <c r="P21" s="233" t="s">
        <v>389</v>
      </c>
      <c r="Q21" s="184"/>
      <c r="R21" s="32">
        <v>0.25</v>
      </c>
    </row>
    <row r="22" spans="2:18" ht="18.75" customHeight="1">
      <c r="B22" s="150"/>
      <c r="C22" s="139"/>
      <c r="D22" s="233"/>
      <c r="E22" s="184"/>
      <c r="F22" s="32"/>
      <c r="G22" s="233" t="s">
        <v>389</v>
      </c>
      <c r="H22" s="184"/>
      <c r="I22" s="32">
        <v>0.25</v>
      </c>
      <c r="J22" s="233" t="s">
        <v>389</v>
      </c>
      <c r="K22" s="184"/>
      <c r="L22" s="32">
        <v>0.25</v>
      </c>
      <c r="M22" s="233" t="s">
        <v>389</v>
      </c>
      <c r="N22" s="184"/>
      <c r="O22" s="32">
        <v>0.25</v>
      </c>
      <c r="P22" s="233"/>
      <c r="Q22" s="184"/>
      <c r="R22" s="32"/>
    </row>
    <row r="23" spans="2:18" ht="18.75" customHeight="1">
      <c r="B23" s="150"/>
      <c r="C23" s="139"/>
      <c r="D23" s="233"/>
      <c r="E23" s="184"/>
      <c r="F23" s="32"/>
      <c r="G23" s="233"/>
      <c r="H23" s="184"/>
      <c r="I23" s="32"/>
      <c r="J23" s="286" t="s">
        <v>245</v>
      </c>
      <c r="K23" s="234"/>
      <c r="L23" s="64">
        <v>0.5</v>
      </c>
      <c r="M23" s="233"/>
      <c r="N23" s="184"/>
      <c r="O23" s="32"/>
      <c r="P23" s="233"/>
      <c r="Q23" s="184"/>
      <c r="R23" s="32"/>
    </row>
    <row r="24" spans="2:18" ht="19.5" customHeight="1" thickBot="1">
      <c r="B24" s="150"/>
      <c r="C24" s="140"/>
      <c r="D24" s="346"/>
      <c r="E24" s="347"/>
      <c r="F24" s="77"/>
      <c r="G24" s="297" t="s">
        <v>174</v>
      </c>
      <c r="H24" s="228"/>
      <c r="I24" s="60">
        <v>0.75</v>
      </c>
      <c r="J24" s="297" t="s">
        <v>174</v>
      </c>
      <c r="K24" s="228"/>
      <c r="L24" s="60">
        <v>0.75</v>
      </c>
      <c r="M24" s="297" t="s">
        <v>174</v>
      </c>
      <c r="N24" s="228"/>
      <c r="O24" s="60">
        <v>0.75</v>
      </c>
      <c r="P24" s="297" t="s">
        <v>174</v>
      </c>
      <c r="Q24" s="228"/>
      <c r="R24" s="60">
        <v>0.75</v>
      </c>
    </row>
    <row r="25" spans="2:18" ht="19.5" thickBot="1">
      <c r="B25" s="151"/>
      <c r="C25" s="18" t="s">
        <v>76</v>
      </c>
      <c r="D25" s="17"/>
      <c r="E25" s="17"/>
      <c r="F25" s="18">
        <f>SUM(F15:F24)</f>
        <v>0</v>
      </c>
      <c r="G25" s="17"/>
      <c r="H25" s="17"/>
      <c r="I25" s="18">
        <f>SUM(I15:I24)</f>
        <v>7.75</v>
      </c>
      <c r="J25" s="17"/>
      <c r="K25" s="17"/>
      <c r="L25" s="18">
        <f>SUM(L15:L24)</f>
        <v>7.75</v>
      </c>
      <c r="M25" s="17"/>
      <c r="N25" s="17"/>
      <c r="O25" s="18">
        <f>SUM(O15:O24)</f>
        <v>7.75</v>
      </c>
      <c r="P25" s="17"/>
      <c r="Q25" s="17"/>
      <c r="R25" s="18">
        <f>SUM(R15:R24)</f>
        <v>7.75</v>
      </c>
    </row>
    <row r="26" spans="2:18" ht="18.75" customHeight="1">
      <c r="B26" s="149" t="s">
        <v>65</v>
      </c>
      <c r="C26" s="138" t="s">
        <v>9</v>
      </c>
      <c r="D26" s="338"/>
      <c r="E26" s="339"/>
      <c r="F26" s="75"/>
      <c r="G26" s="154" t="s">
        <v>331</v>
      </c>
      <c r="H26" s="155"/>
      <c r="I26" s="7">
        <v>1</v>
      </c>
      <c r="J26" s="154" t="s">
        <v>332</v>
      </c>
      <c r="K26" s="155"/>
      <c r="L26" s="7">
        <v>1</v>
      </c>
      <c r="M26" s="154" t="s">
        <v>333</v>
      </c>
      <c r="N26" s="155"/>
      <c r="O26" s="7">
        <v>1</v>
      </c>
      <c r="P26" s="156" t="s">
        <v>37</v>
      </c>
      <c r="Q26" s="153"/>
      <c r="R26" s="6">
        <v>0.5</v>
      </c>
    </row>
    <row r="27" spans="2:18" ht="18.75" customHeight="1">
      <c r="B27" s="150"/>
      <c r="C27" s="139"/>
      <c r="D27" s="83"/>
      <c r="E27" s="78"/>
      <c r="F27" s="32"/>
      <c r="G27" s="154" t="s">
        <v>382</v>
      </c>
      <c r="H27" s="155"/>
      <c r="I27" s="7">
        <v>1</v>
      </c>
      <c r="J27" s="154" t="s">
        <v>366</v>
      </c>
      <c r="K27" s="155"/>
      <c r="L27" s="7">
        <v>0.5</v>
      </c>
      <c r="M27" s="154" t="s">
        <v>367</v>
      </c>
      <c r="N27" s="155"/>
      <c r="O27" s="7" t="s">
        <v>368</v>
      </c>
      <c r="P27" s="154" t="s">
        <v>365</v>
      </c>
      <c r="Q27" s="155"/>
      <c r="R27" s="7">
        <v>1</v>
      </c>
    </row>
    <row r="28" spans="2:18" ht="18.75" customHeight="1">
      <c r="B28" s="150"/>
      <c r="C28" s="139"/>
      <c r="D28" s="83"/>
      <c r="E28" s="78"/>
      <c r="F28" s="32"/>
      <c r="G28" s="154" t="s">
        <v>370</v>
      </c>
      <c r="H28" s="155"/>
      <c r="I28" s="7">
        <v>0.5</v>
      </c>
      <c r="J28" s="154" t="s">
        <v>371</v>
      </c>
      <c r="K28" s="155"/>
      <c r="L28" s="7">
        <v>1</v>
      </c>
      <c r="M28" s="154" t="s">
        <v>372</v>
      </c>
      <c r="N28" s="155"/>
      <c r="O28" s="7">
        <v>1.5</v>
      </c>
      <c r="P28" s="154" t="s">
        <v>369</v>
      </c>
      <c r="Q28" s="155"/>
      <c r="R28" s="7">
        <v>1.5</v>
      </c>
    </row>
    <row r="29" spans="2:18" ht="18.75" customHeight="1">
      <c r="B29" s="150"/>
      <c r="C29" s="139"/>
      <c r="D29" s="83"/>
      <c r="E29" s="78"/>
      <c r="F29" s="32"/>
      <c r="G29" s="216" t="s">
        <v>373</v>
      </c>
      <c r="H29" s="163"/>
      <c r="I29" s="7">
        <v>0.5</v>
      </c>
      <c r="J29" s="154"/>
      <c r="K29" s="155"/>
      <c r="L29" s="7"/>
      <c r="M29" s="154" t="s">
        <v>374</v>
      </c>
      <c r="N29" s="155"/>
      <c r="O29" s="7">
        <v>0.5</v>
      </c>
      <c r="P29" s="154"/>
      <c r="Q29" s="155"/>
      <c r="R29" s="12"/>
    </row>
    <row r="30" spans="2:18" ht="19.5" customHeight="1" thickBot="1">
      <c r="B30" s="150"/>
      <c r="C30" s="140"/>
      <c r="D30" s="84"/>
      <c r="E30" s="85"/>
      <c r="F30" s="59"/>
      <c r="G30" s="161"/>
      <c r="H30" s="159"/>
      <c r="I30" s="9"/>
      <c r="J30" s="161"/>
      <c r="K30" s="159"/>
      <c r="L30" s="9"/>
      <c r="M30" s="161"/>
      <c r="N30" s="159"/>
      <c r="O30" s="9"/>
      <c r="P30" s="161"/>
      <c r="Q30" s="159"/>
      <c r="R30" s="9"/>
    </row>
    <row r="31" spans="2:18" ht="18.75" customHeight="1">
      <c r="B31" s="150"/>
      <c r="C31" s="138" t="s">
        <v>20</v>
      </c>
      <c r="D31" s="81"/>
      <c r="E31" s="82"/>
      <c r="F31" s="75"/>
      <c r="G31" s="154" t="s">
        <v>375</v>
      </c>
      <c r="H31" s="155"/>
      <c r="I31" s="7"/>
      <c r="J31" s="154" t="s">
        <v>37</v>
      </c>
      <c r="K31" s="155"/>
      <c r="L31" s="7">
        <v>0.5</v>
      </c>
      <c r="M31" s="154" t="s">
        <v>379</v>
      </c>
      <c r="N31" s="155"/>
      <c r="O31" s="7">
        <v>2</v>
      </c>
      <c r="P31" s="154" t="s">
        <v>380</v>
      </c>
      <c r="Q31" s="155"/>
      <c r="R31" s="7">
        <v>2</v>
      </c>
    </row>
    <row r="32" spans="2:18" ht="18.75" customHeight="1">
      <c r="B32" s="150"/>
      <c r="C32" s="139"/>
      <c r="D32" s="86"/>
      <c r="E32" s="87"/>
      <c r="F32" s="80"/>
      <c r="G32" s="154" t="s">
        <v>376</v>
      </c>
      <c r="H32" s="155"/>
      <c r="I32" s="7">
        <v>1</v>
      </c>
      <c r="J32" s="154" t="s">
        <v>378</v>
      </c>
      <c r="K32" s="155"/>
      <c r="L32" s="7">
        <v>2</v>
      </c>
      <c r="M32" s="154" t="s">
        <v>377</v>
      </c>
      <c r="N32" s="155"/>
      <c r="O32" s="7">
        <v>2</v>
      </c>
      <c r="P32" s="154" t="s">
        <v>377</v>
      </c>
      <c r="Q32" s="155"/>
      <c r="R32" s="7">
        <v>2</v>
      </c>
    </row>
    <row r="33" spans="2:18" ht="18.75" customHeight="1">
      <c r="B33" s="150"/>
      <c r="C33" s="139"/>
      <c r="D33" s="83"/>
      <c r="E33" s="78"/>
      <c r="F33" s="32"/>
      <c r="G33" s="154" t="s">
        <v>377</v>
      </c>
      <c r="H33" s="155"/>
      <c r="I33" s="7">
        <v>2</v>
      </c>
      <c r="J33" s="154" t="s">
        <v>377</v>
      </c>
      <c r="K33" s="155"/>
      <c r="L33" s="7">
        <v>2</v>
      </c>
      <c r="M33" s="154"/>
      <c r="N33" s="155"/>
      <c r="O33" s="7"/>
      <c r="P33" s="154"/>
      <c r="Q33" s="155"/>
      <c r="R33" s="7"/>
    </row>
    <row r="34" spans="2:18" ht="18.75" customHeight="1">
      <c r="B34" s="150"/>
      <c r="C34" s="139"/>
      <c r="D34" s="83"/>
      <c r="E34" s="78"/>
      <c r="F34" s="32"/>
      <c r="G34" s="216" t="s">
        <v>381</v>
      </c>
      <c r="H34" s="163"/>
      <c r="I34" s="7">
        <v>1</v>
      </c>
      <c r="J34" s="154"/>
      <c r="K34" s="155"/>
      <c r="L34" s="7"/>
      <c r="M34" s="154"/>
      <c r="N34" s="155"/>
      <c r="O34" s="7"/>
      <c r="P34" s="154"/>
      <c r="Q34" s="155"/>
      <c r="R34" s="7"/>
    </row>
    <row r="35" spans="2:18" ht="19.5" customHeight="1" thickBot="1">
      <c r="B35" s="150"/>
      <c r="C35" s="140"/>
      <c r="D35" s="88"/>
      <c r="E35" s="85"/>
      <c r="F35" s="59"/>
      <c r="G35" s="161"/>
      <c r="H35" s="159"/>
      <c r="I35" s="9"/>
      <c r="J35" s="161"/>
      <c r="K35" s="159"/>
      <c r="L35" s="9"/>
      <c r="M35" s="161"/>
      <c r="N35" s="159"/>
      <c r="O35" s="9"/>
      <c r="P35" s="161"/>
      <c r="Q35" s="159"/>
      <c r="R35" s="9"/>
    </row>
    <row r="36" spans="2:18" ht="19.5" thickBot="1">
      <c r="B36" s="151"/>
      <c r="C36" s="18" t="s">
        <v>76</v>
      </c>
      <c r="D36" s="17"/>
      <c r="E36" s="17"/>
      <c r="F36" s="18">
        <f>SUM(F26:F35)</f>
        <v>0</v>
      </c>
      <c r="G36" s="17"/>
      <c r="H36" s="17"/>
      <c r="I36" s="18">
        <f>SUM(I26:I35)</f>
        <v>7</v>
      </c>
      <c r="J36" s="17"/>
      <c r="K36" s="17"/>
      <c r="L36" s="18">
        <f>SUM(L26:L35)</f>
        <v>7</v>
      </c>
      <c r="M36" s="17"/>
      <c r="N36" s="17"/>
      <c r="O36" s="18">
        <f>SUM(O26:O35)</f>
        <v>7</v>
      </c>
      <c r="P36" s="17"/>
      <c r="Q36" s="17"/>
      <c r="R36" s="18">
        <f>SUM(R26:R35)</f>
        <v>7</v>
      </c>
    </row>
    <row r="37" spans="2:18">
      <c r="B37" s="149" t="s">
        <v>146</v>
      </c>
      <c r="C37" s="138" t="s">
        <v>9</v>
      </c>
      <c r="D37" s="323"/>
      <c r="E37" s="324"/>
      <c r="F37" s="61"/>
      <c r="G37" s="323" t="s">
        <v>307</v>
      </c>
      <c r="H37" s="324"/>
      <c r="I37" s="61">
        <v>0.75</v>
      </c>
      <c r="J37" s="323" t="s">
        <v>307</v>
      </c>
      <c r="K37" s="324"/>
      <c r="L37" s="61">
        <v>0.75</v>
      </c>
      <c r="M37" s="323" t="s">
        <v>307</v>
      </c>
      <c r="N37" s="324"/>
      <c r="O37" s="61">
        <v>0.75</v>
      </c>
      <c r="P37" s="323" t="s">
        <v>307</v>
      </c>
      <c r="Q37" s="324"/>
      <c r="R37" s="61">
        <v>0.75</v>
      </c>
    </row>
    <row r="38" spans="2:18">
      <c r="B38" s="150"/>
      <c r="C38" s="139"/>
      <c r="D38" s="318"/>
      <c r="E38" s="317"/>
      <c r="F38" s="62"/>
      <c r="G38" s="318" t="s">
        <v>359</v>
      </c>
      <c r="H38" s="317"/>
      <c r="I38" s="62">
        <v>2.25</v>
      </c>
      <c r="J38" s="318" t="s">
        <v>361</v>
      </c>
      <c r="K38" s="317"/>
      <c r="L38" s="62">
        <v>2.25</v>
      </c>
      <c r="M38" s="318" t="s">
        <v>363</v>
      </c>
      <c r="N38" s="317"/>
      <c r="O38" s="62">
        <v>2.25</v>
      </c>
      <c r="P38" s="318" t="s">
        <v>363</v>
      </c>
      <c r="Q38" s="317"/>
      <c r="R38" s="62">
        <v>2.2000000000000002</v>
      </c>
    </row>
    <row r="39" spans="2:18">
      <c r="B39" s="150"/>
      <c r="C39" s="139"/>
      <c r="D39" s="318"/>
      <c r="E39" s="317"/>
      <c r="F39" s="32"/>
      <c r="G39" s="318"/>
      <c r="H39" s="317"/>
      <c r="I39" s="32"/>
      <c r="J39" s="318"/>
      <c r="K39" s="317"/>
      <c r="L39" s="32"/>
      <c r="M39" s="318"/>
      <c r="N39" s="317"/>
      <c r="O39" s="32"/>
      <c r="P39" s="318"/>
      <c r="Q39" s="317"/>
      <c r="R39" s="32"/>
    </row>
    <row r="40" spans="2:18">
      <c r="B40" s="150"/>
      <c r="C40" s="139"/>
      <c r="D40" s="318"/>
      <c r="E40" s="317"/>
      <c r="F40" s="32"/>
      <c r="G40" s="318"/>
      <c r="H40" s="317"/>
      <c r="I40" s="32"/>
      <c r="J40" s="318"/>
      <c r="K40" s="317"/>
      <c r="L40" s="32"/>
      <c r="M40" s="318"/>
      <c r="N40" s="317"/>
      <c r="O40" s="32"/>
      <c r="P40" s="318"/>
      <c r="Q40" s="317"/>
      <c r="R40" s="32"/>
    </row>
    <row r="41" spans="2:18" ht="19.5" thickBot="1">
      <c r="B41" s="150"/>
      <c r="C41" s="140"/>
      <c r="D41" s="319"/>
      <c r="E41" s="320"/>
      <c r="F41" s="59"/>
      <c r="G41" s="321"/>
      <c r="H41" s="322"/>
      <c r="I41" s="59"/>
      <c r="J41" s="321"/>
      <c r="K41" s="322"/>
      <c r="L41" s="59"/>
      <c r="M41" s="321"/>
      <c r="N41" s="322"/>
      <c r="O41" s="59"/>
      <c r="P41" s="321"/>
      <c r="Q41" s="322"/>
      <c r="R41" s="59"/>
    </row>
    <row r="42" spans="2:18">
      <c r="B42" s="150"/>
      <c r="C42" s="138" t="s">
        <v>20</v>
      </c>
      <c r="D42" s="318"/>
      <c r="E42" s="317"/>
      <c r="F42" s="69"/>
      <c r="G42" s="318" t="s">
        <v>360</v>
      </c>
      <c r="H42" s="317"/>
      <c r="I42" s="69">
        <v>4.25</v>
      </c>
      <c r="J42" s="318" t="s">
        <v>362</v>
      </c>
      <c r="K42" s="317"/>
      <c r="L42" s="69">
        <v>4.25</v>
      </c>
      <c r="M42" s="318" t="s">
        <v>364</v>
      </c>
      <c r="N42" s="317"/>
      <c r="O42" s="69">
        <v>3.75</v>
      </c>
      <c r="P42" s="318" t="s">
        <v>364</v>
      </c>
      <c r="Q42" s="317"/>
      <c r="R42" s="69">
        <v>4.3</v>
      </c>
    </row>
    <row r="43" spans="2:18">
      <c r="B43" s="150"/>
      <c r="C43" s="139"/>
      <c r="D43" s="318"/>
      <c r="E43" s="317"/>
      <c r="F43" s="69"/>
      <c r="G43" s="316"/>
      <c r="H43" s="317"/>
      <c r="I43" s="69"/>
      <c r="J43" s="316"/>
      <c r="K43" s="317"/>
      <c r="L43" s="69"/>
      <c r="M43" s="318" t="s">
        <v>63</v>
      </c>
      <c r="N43" s="317"/>
      <c r="O43" s="69">
        <v>0.5</v>
      </c>
      <c r="P43" s="318"/>
      <c r="Q43" s="317"/>
      <c r="R43" s="69"/>
    </row>
    <row r="44" spans="2:18">
      <c r="B44" s="150"/>
      <c r="C44" s="139"/>
      <c r="D44" s="316"/>
      <c r="E44" s="317"/>
      <c r="F44" s="69"/>
      <c r="G44" s="318"/>
      <c r="H44" s="317"/>
      <c r="I44" s="69"/>
      <c r="J44" s="318"/>
      <c r="K44" s="317"/>
      <c r="L44" s="69"/>
      <c r="M44" s="316"/>
      <c r="N44" s="317"/>
      <c r="O44" s="69"/>
      <c r="P44" s="316"/>
      <c r="Q44" s="317"/>
      <c r="R44" s="69"/>
    </row>
    <row r="45" spans="2:18">
      <c r="B45" s="150"/>
      <c r="C45" s="139"/>
      <c r="D45" s="316"/>
      <c r="E45" s="317"/>
      <c r="F45" s="69"/>
      <c r="G45" s="318"/>
      <c r="H45" s="317"/>
      <c r="I45" s="69"/>
      <c r="J45" s="316"/>
      <c r="K45" s="317"/>
      <c r="L45" s="69"/>
      <c r="M45" s="316"/>
      <c r="N45" s="317"/>
      <c r="O45" s="69"/>
      <c r="P45" s="316"/>
      <c r="Q45" s="317"/>
      <c r="R45" s="69"/>
    </row>
    <row r="46" spans="2:18" ht="19.5" thickBot="1">
      <c r="B46" s="150"/>
      <c r="C46" s="140"/>
      <c r="D46" s="314"/>
      <c r="E46" s="315"/>
      <c r="F46" s="70"/>
      <c r="G46" s="314" t="s">
        <v>200</v>
      </c>
      <c r="H46" s="315"/>
      <c r="I46" s="70">
        <v>0.5</v>
      </c>
      <c r="J46" s="314" t="s">
        <v>200</v>
      </c>
      <c r="K46" s="315"/>
      <c r="L46" s="70">
        <v>0.5</v>
      </c>
      <c r="M46" s="314" t="s">
        <v>200</v>
      </c>
      <c r="N46" s="315"/>
      <c r="O46" s="70">
        <v>0.5</v>
      </c>
      <c r="P46" s="314" t="s">
        <v>200</v>
      </c>
      <c r="Q46" s="315"/>
      <c r="R46" s="70">
        <v>0.5</v>
      </c>
    </row>
    <row r="47" spans="2:18" ht="19.5" thickBot="1">
      <c r="B47" s="151"/>
      <c r="C47" s="18" t="s">
        <v>76</v>
      </c>
      <c r="D47" s="17"/>
      <c r="E47" s="17"/>
      <c r="F47" s="18">
        <f>SUM(F37:F46)</f>
        <v>0</v>
      </c>
      <c r="G47" s="17"/>
      <c r="H47" s="17"/>
      <c r="I47" s="18">
        <f>SUM(I37:I46)</f>
        <v>7.75</v>
      </c>
      <c r="J47" s="17"/>
      <c r="K47" s="17"/>
      <c r="L47" s="18">
        <f>SUM(L37:L46)</f>
        <v>7.75</v>
      </c>
      <c r="M47" s="17"/>
      <c r="N47" s="17"/>
      <c r="O47" s="18">
        <f>SUM(O37:O46)</f>
        <v>7.75</v>
      </c>
      <c r="P47" s="17"/>
      <c r="Q47" s="17"/>
      <c r="R47" s="18">
        <f>SUM(R37:R46)</f>
        <v>7.75</v>
      </c>
    </row>
    <row r="49" spans="2:6">
      <c r="B49" s="294" t="s">
        <v>182</v>
      </c>
      <c r="C49" s="295"/>
      <c r="D49" s="49" t="s">
        <v>183</v>
      </c>
      <c r="E49" s="296" t="s">
        <v>184</v>
      </c>
      <c r="F49" s="296"/>
    </row>
  </sheetData>
  <mergeCells count="230">
    <mergeCell ref="P43:Q43"/>
    <mergeCell ref="D41:E41"/>
    <mergeCell ref="G41:H41"/>
    <mergeCell ref="J41:K41"/>
    <mergeCell ref="M41:N41"/>
    <mergeCell ref="P41:Q41"/>
    <mergeCell ref="P39:Q39"/>
    <mergeCell ref="D40:E40"/>
    <mergeCell ref="G40:H40"/>
    <mergeCell ref="J40:K40"/>
    <mergeCell ref="B49:C49"/>
    <mergeCell ref="E49:F49"/>
    <mergeCell ref="D44:E44"/>
    <mergeCell ref="G44:H44"/>
    <mergeCell ref="J44:K44"/>
    <mergeCell ref="M44:N44"/>
    <mergeCell ref="P44:Q44"/>
    <mergeCell ref="D45:E45"/>
    <mergeCell ref="G45:H45"/>
    <mergeCell ref="J45:K45"/>
    <mergeCell ref="M45:N45"/>
    <mergeCell ref="P45:Q45"/>
    <mergeCell ref="C42:C46"/>
    <mergeCell ref="D42:E42"/>
    <mergeCell ref="G42:H42"/>
    <mergeCell ref="J42:K42"/>
    <mergeCell ref="M42:N42"/>
    <mergeCell ref="D46:E46"/>
    <mergeCell ref="G46:H46"/>
    <mergeCell ref="J46:K46"/>
    <mergeCell ref="M46:N46"/>
    <mergeCell ref="P46:Q46"/>
    <mergeCell ref="P42:Q42"/>
    <mergeCell ref="D43:E43"/>
    <mergeCell ref="B37:B47"/>
    <mergeCell ref="C37:C41"/>
    <mergeCell ref="D37:E37"/>
    <mergeCell ref="G37:H37"/>
    <mergeCell ref="J37:K37"/>
    <mergeCell ref="M37:N37"/>
    <mergeCell ref="D39:E39"/>
    <mergeCell ref="G39:H39"/>
    <mergeCell ref="J39:K39"/>
    <mergeCell ref="M39:N39"/>
    <mergeCell ref="G43:H43"/>
    <mergeCell ref="J43:K43"/>
    <mergeCell ref="M43:N43"/>
    <mergeCell ref="P34:Q34"/>
    <mergeCell ref="M40:N40"/>
    <mergeCell ref="P40:Q40"/>
    <mergeCell ref="P37:Q37"/>
    <mergeCell ref="D38:E38"/>
    <mergeCell ref="G38:H38"/>
    <mergeCell ref="J38:K38"/>
    <mergeCell ref="M38:N38"/>
    <mergeCell ref="P38:Q38"/>
    <mergeCell ref="G35:H35"/>
    <mergeCell ref="J35:K35"/>
    <mergeCell ref="M35:N35"/>
    <mergeCell ref="P35:Q35"/>
    <mergeCell ref="P30:Q30"/>
    <mergeCell ref="C31:C35"/>
    <mergeCell ref="G31:H31"/>
    <mergeCell ref="J31:K31"/>
    <mergeCell ref="M33:N33"/>
    <mergeCell ref="G28:H28"/>
    <mergeCell ref="J28:K28"/>
    <mergeCell ref="M28:N28"/>
    <mergeCell ref="P28:Q28"/>
    <mergeCell ref="G29:H29"/>
    <mergeCell ref="J29:K29"/>
    <mergeCell ref="M29:N29"/>
    <mergeCell ref="P29:Q29"/>
    <mergeCell ref="G33:H33"/>
    <mergeCell ref="J32:K32"/>
    <mergeCell ref="M31:N31"/>
    <mergeCell ref="P31:Q31"/>
    <mergeCell ref="G34:H34"/>
    <mergeCell ref="J33:K33"/>
    <mergeCell ref="M32:N32"/>
    <mergeCell ref="P32:Q32"/>
    <mergeCell ref="P33:Q33"/>
    <mergeCell ref="G32:H32"/>
    <mergeCell ref="J34:K34"/>
    <mergeCell ref="P26:Q26"/>
    <mergeCell ref="G27:H27"/>
    <mergeCell ref="J27:K27"/>
    <mergeCell ref="M27:N27"/>
    <mergeCell ref="P27:Q27"/>
    <mergeCell ref="D24:E24"/>
    <mergeCell ref="G24:H24"/>
    <mergeCell ref="J24:K24"/>
    <mergeCell ref="M24:N24"/>
    <mergeCell ref="P24:Q24"/>
    <mergeCell ref="B26:B36"/>
    <mergeCell ref="C26:C30"/>
    <mergeCell ref="D26:E26"/>
    <mergeCell ref="G26:H26"/>
    <mergeCell ref="J26:K26"/>
    <mergeCell ref="D22:E22"/>
    <mergeCell ref="G22:H22"/>
    <mergeCell ref="J22:K22"/>
    <mergeCell ref="M22:N22"/>
    <mergeCell ref="B15:B25"/>
    <mergeCell ref="M26:N26"/>
    <mergeCell ref="G30:H30"/>
    <mergeCell ref="J30:K30"/>
    <mergeCell ref="M30:N30"/>
    <mergeCell ref="M34:N34"/>
    <mergeCell ref="D19:E19"/>
    <mergeCell ref="G19:H19"/>
    <mergeCell ref="J19:K19"/>
    <mergeCell ref="M19:N19"/>
    <mergeCell ref="D17:E17"/>
    <mergeCell ref="G17:H17"/>
    <mergeCell ref="J17:K17"/>
    <mergeCell ref="M17:N17"/>
    <mergeCell ref="P19:Q19"/>
    <mergeCell ref="C20:C24"/>
    <mergeCell ref="D20:E20"/>
    <mergeCell ref="G20:H20"/>
    <mergeCell ref="J20:K20"/>
    <mergeCell ref="M20:N20"/>
    <mergeCell ref="C15:C19"/>
    <mergeCell ref="P22:Q22"/>
    <mergeCell ref="D23:E23"/>
    <mergeCell ref="G23:H23"/>
    <mergeCell ref="J23:K23"/>
    <mergeCell ref="M23:N23"/>
    <mergeCell ref="P23:Q23"/>
    <mergeCell ref="P20:Q20"/>
    <mergeCell ref="D21:E21"/>
    <mergeCell ref="G21:H21"/>
    <mergeCell ref="J21:K21"/>
    <mergeCell ref="M21:N21"/>
    <mergeCell ref="P21:Q21"/>
    <mergeCell ref="D18:E18"/>
    <mergeCell ref="G18:H18"/>
    <mergeCell ref="J18:K18"/>
    <mergeCell ref="M18:N18"/>
    <mergeCell ref="P18:Q18"/>
    <mergeCell ref="S13:T13"/>
    <mergeCell ref="S11:T11"/>
    <mergeCell ref="D12:E12"/>
    <mergeCell ref="G12:H12"/>
    <mergeCell ref="J12:K12"/>
    <mergeCell ref="M12:N12"/>
    <mergeCell ref="P12:Q12"/>
    <mergeCell ref="S12:T12"/>
    <mergeCell ref="P17:Q17"/>
    <mergeCell ref="P11:Q11"/>
    <mergeCell ref="P15:Q15"/>
    <mergeCell ref="D16:E16"/>
    <mergeCell ref="G16:H16"/>
    <mergeCell ref="J16:K16"/>
    <mergeCell ref="M16:N16"/>
    <mergeCell ref="P16:Q16"/>
    <mergeCell ref="D15:E15"/>
    <mergeCell ref="G15:H15"/>
    <mergeCell ref="J15:K15"/>
    <mergeCell ref="M15:N15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3:E13"/>
    <mergeCell ref="G13:H13"/>
    <mergeCell ref="J13:K13"/>
    <mergeCell ref="M13:N13"/>
    <mergeCell ref="P13:Q13"/>
    <mergeCell ref="S8:T8"/>
    <mergeCell ref="G6:H6"/>
    <mergeCell ref="J6:K6"/>
    <mergeCell ref="M6:N6"/>
    <mergeCell ref="P6:Q6"/>
    <mergeCell ref="S6:T6"/>
    <mergeCell ref="D7:E7"/>
    <mergeCell ref="G7:H7"/>
    <mergeCell ref="J7:K7"/>
    <mergeCell ref="M7:N7"/>
    <mergeCell ref="P7:Q7"/>
    <mergeCell ref="S4:T4"/>
    <mergeCell ref="D5:E5"/>
    <mergeCell ref="G5:H5"/>
    <mergeCell ref="J5:K5"/>
    <mergeCell ref="M5:N5"/>
    <mergeCell ref="P5:Q5"/>
    <mergeCell ref="S5:T5"/>
    <mergeCell ref="Q2:Q3"/>
    <mergeCell ref="R2:R3"/>
    <mergeCell ref="B4:B14"/>
    <mergeCell ref="C4:C8"/>
    <mergeCell ref="D4:E4"/>
    <mergeCell ref="G4:H4"/>
    <mergeCell ref="J4:K4"/>
    <mergeCell ref="M4:N4"/>
    <mergeCell ref="P4:Q4"/>
    <mergeCell ref="D6:E6"/>
    <mergeCell ref="K2:K3"/>
    <mergeCell ref="L2:L3"/>
    <mergeCell ref="M2:M3"/>
    <mergeCell ref="N2:N3"/>
    <mergeCell ref="O2:O3"/>
    <mergeCell ref="P2:P3"/>
    <mergeCell ref="D8:E8"/>
    <mergeCell ref="G8:H8"/>
    <mergeCell ref="J8:K8"/>
    <mergeCell ref="M8:N8"/>
    <mergeCell ref="P8:Q8"/>
    <mergeCell ref="P10:Q10"/>
    <mergeCell ref="D11:E11"/>
    <mergeCell ref="G11:H11"/>
    <mergeCell ref="J11:K11"/>
    <mergeCell ref="M11:N11"/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</mergeCells>
  <phoneticPr fontId="1"/>
  <pageMargins left="0.7" right="0.7" top="0.75" bottom="0.75" header="0.3" footer="0.3"/>
  <pageSetup paperSize="8" scale="67" orientation="landscape" horizontalDpi="1200" verticalDpi="1200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7612C-C198-456E-85FA-309E3EFFC009}">
  <sheetPr codeName="Sheet3"/>
  <dimension ref="B1:T49"/>
  <sheetViews>
    <sheetView view="pageBreakPreview" zoomScale="85" zoomScaleNormal="100" zoomScaleSheetLayoutView="85" workbookViewId="0">
      <selection activeCell="B37" sqref="B37:B47"/>
    </sheetView>
  </sheetViews>
  <sheetFormatPr defaultRowHeight="18.75"/>
  <cols>
    <col min="1" max="1" width="2.5" customWidth="1"/>
    <col min="4" max="18" width="16" customWidth="1"/>
  </cols>
  <sheetData>
    <row r="1" spans="2:20" ht="24.75" thickBot="1">
      <c r="D1" s="53">
        <v>45544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20" s="5" customFormat="1">
      <c r="B2" s="201"/>
      <c r="C2" s="202"/>
      <c r="D2" s="205">
        <f>D1</f>
        <v>45544</v>
      </c>
      <c r="E2" s="195" t="s">
        <v>3</v>
      </c>
      <c r="F2" s="191" t="s">
        <v>4</v>
      </c>
      <c r="G2" s="197">
        <f>D2+1</f>
        <v>45545</v>
      </c>
      <c r="H2" s="195" t="s">
        <v>5</v>
      </c>
      <c r="I2" s="191" t="s">
        <v>4</v>
      </c>
      <c r="J2" s="197">
        <f>G2+1</f>
        <v>45546</v>
      </c>
      <c r="K2" s="195" t="s">
        <v>6</v>
      </c>
      <c r="L2" s="191" t="s">
        <v>4</v>
      </c>
      <c r="M2" s="197">
        <f>J2+1</f>
        <v>45547</v>
      </c>
      <c r="N2" s="195" t="s">
        <v>7</v>
      </c>
      <c r="O2" s="191" t="s">
        <v>4</v>
      </c>
      <c r="P2" s="197">
        <f>M2+1</f>
        <v>45548</v>
      </c>
      <c r="Q2" s="195" t="s">
        <v>8</v>
      </c>
      <c r="R2" s="191" t="s">
        <v>4</v>
      </c>
    </row>
    <row r="3" spans="2:20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20" ht="18.75" customHeight="1">
      <c r="B4" s="303" t="s">
        <v>31</v>
      </c>
      <c r="C4" s="138" t="s">
        <v>9</v>
      </c>
      <c r="D4" s="264" t="s">
        <v>67</v>
      </c>
      <c r="E4" s="153"/>
      <c r="F4" s="6">
        <v>0.5</v>
      </c>
      <c r="G4" s="264" t="s">
        <v>67</v>
      </c>
      <c r="H4" s="153"/>
      <c r="I4" s="6">
        <v>0.5</v>
      </c>
      <c r="J4" s="264" t="s">
        <v>67</v>
      </c>
      <c r="K4" s="153"/>
      <c r="L4" s="6">
        <v>0.5</v>
      </c>
      <c r="M4" s="264" t="s">
        <v>67</v>
      </c>
      <c r="N4" s="153"/>
      <c r="O4" s="6">
        <v>0.5</v>
      </c>
      <c r="P4" s="264" t="s">
        <v>67</v>
      </c>
      <c r="Q4" s="153"/>
      <c r="R4" s="6">
        <v>0.5</v>
      </c>
      <c r="S4" s="211"/>
      <c r="T4" s="211"/>
    </row>
    <row r="5" spans="2:20" ht="18.75" customHeight="1">
      <c r="B5" s="304"/>
      <c r="C5" s="139"/>
      <c r="D5" s="157" t="s">
        <v>71</v>
      </c>
      <c r="E5" s="155"/>
      <c r="F5" s="7">
        <v>0.1</v>
      </c>
      <c r="G5" s="157" t="s">
        <v>71</v>
      </c>
      <c r="H5" s="155"/>
      <c r="I5" s="7">
        <v>0.1</v>
      </c>
      <c r="J5" s="157" t="s">
        <v>71</v>
      </c>
      <c r="K5" s="155"/>
      <c r="L5" s="7">
        <v>0.1</v>
      </c>
      <c r="M5" s="157" t="s">
        <v>71</v>
      </c>
      <c r="N5" s="155"/>
      <c r="O5" s="7">
        <v>0.1</v>
      </c>
      <c r="P5" s="157" t="s">
        <v>71</v>
      </c>
      <c r="Q5" s="155"/>
      <c r="R5" s="7">
        <v>0.1</v>
      </c>
      <c r="S5" s="211"/>
      <c r="T5" s="211"/>
    </row>
    <row r="6" spans="2:20" ht="18.75" customHeight="1">
      <c r="B6" s="304"/>
      <c r="C6" s="139"/>
      <c r="D6" s="226" t="s">
        <v>353</v>
      </c>
      <c r="E6" s="227"/>
      <c r="F6" s="66">
        <v>1.5</v>
      </c>
      <c r="G6" s="154" t="s">
        <v>352</v>
      </c>
      <c r="H6" s="155"/>
      <c r="I6" s="7">
        <v>0.5</v>
      </c>
      <c r="J6" s="226" t="s">
        <v>350</v>
      </c>
      <c r="K6" s="227"/>
      <c r="L6" s="7">
        <v>2.5</v>
      </c>
      <c r="M6" s="154" t="s">
        <v>313</v>
      </c>
      <c r="N6" s="155"/>
      <c r="O6" s="7">
        <v>2.5</v>
      </c>
      <c r="P6" s="154" t="s">
        <v>354</v>
      </c>
      <c r="Q6" s="155"/>
      <c r="R6" s="16">
        <v>1</v>
      </c>
      <c r="S6" s="212"/>
      <c r="T6" s="212"/>
    </row>
    <row r="7" spans="2:20" ht="18.75" customHeight="1">
      <c r="B7" s="304"/>
      <c r="C7" s="139"/>
      <c r="D7" s="154"/>
      <c r="E7" s="155"/>
      <c r="F7" s="7"/>
      <c r="G7" s="226" t="s">
        <v>350</v>
      </c>
      <c r="H7" s="227"/>
      <c r="I7" s="7">
        <v>2</v>
      </c>
      <c r="J7" s="154"/>
      <c r="K7" s="155"/>
      <c r="L7" s="16"/>
      <c r="M7" s="154"/>
      <c r="N7" s="155"/>
      <c r="O7" s="7"/>
      <c r="P7" s="154" t="s">
        <v>314</v>
      </c>
      <c r="Q7" s="155"/>
      <c r="R7" s="7">
        <v>1.5</v>
      </c>
      <c r="S7" s="8"/>
      <c r="T7" s="8"/>
    </row>
    <row r="8" spans="2:20" ht="19.5" customHeight="1" thickBot="1">
      <c r="B8" s="304"/>
      <c r="C8" s="140"/>
      <c r="D8" s="340"/>
      <c r="E8" s="218"/>
      <c r="F8" s="57"/>
      <c r="G8" s="160"/>
      <c r="H8" s="159"/>
      <c r="I8" s="9"/>
      <c r="J8" s="160"/>
      <c r="K8" s="159"/>
      <c r="L8" s="9"/>
      <c r="M8" s="160"/>
      <c r="N8" s="159"/>
      <c r="O8" s="9"/>
      <c r="P8" s="161"/>
      <c r="Q8" s="159"/>
      <c r="R8" s="9"/>
      <c r="S8" s="214"/>
      <c r="T8" s="214"/>
    </row>
    <row r="9" spans="2:20" ht="18.75" customHeight="1">
      <c r="B9" s="304"/>
      <c r="C9" s="138" t="s">
        <v>20</v>
      </c>
      <c r="D9" s="154" t="s">
        <v>349</v>
      </c>
      <c r="E9" s="155"/>
      <c r="F9" s="16">
        <v>5.4</v>
      </c>
      <c r="G9" s="154" t="s">
        <v>351</v>
      </c>
      <c r="H9" s="155"/>
      <c r="I9" s="16">
        <v>4.4000000000000004</v>
      </c>
      <c r="J9" s="154" t="s">
        <v>311</v>
      </c>
      <c r="K9" s="155"/>
      <c r="L9" s="16">
        <v>4.4000000000000004</v>
      </c>
      <c r="M9" s="154" t="s">
        <v>356</v>
      </c>
      <c r="N9" s="155"/>
      <c r="O9" s="7">
        <v>1</v>
      </c>
      <c r="P9" s="154" t="s">
        <v>357</v>
      </c>
      <c r="Q9" s="155"/>
      <c r="R9" s="7">
        <v>4.4000000000000004</v>
      </c>
      <c r="S9" s="11"/>
      <c r="T9" s="11"/>
    </row>
    <row r="10" spans="2:20" ht="18.75" customHeight="1">
      <c r="B10" s="304"/>
      <c r="C10" s="139"/>
      <c r="D10" s="154"/>
      <c r="E10" s="155"/>
      <c r="F10" s="7"/>
      <c r="G10" s="154"/>
      <c r="H10" s="155"/>
      <c r="I10" s="7"/>
      <c r="J10" s="154"/>
      <c r="K10" s="155"/>
      <c r="L10" s="16"/>
      <c r="M10" s="154" t="s">
        <v>355</v>
      </c>
      <c r="N10" s="155"/>
      <c r="O10" s="7">
        <v>2.15</v>
      </c>
      <c r="P10" s="154"/>
      <c r="Q10" s="155"/>
      <c r="R10" s="7"/>
      <c r="S10" s="11"/>
      <c r="T10" s="11"/>
    </row>
    <row r="11" spans="2:20" ht="18.75" customHeight="1">
      <c r="B11" s="304"/>
      <c r="C11" s="139"/>
      <c r="D11" s="300"/>
      <c r="E11" s="155"/>
      <c r="F11" s="7"/>
      <c r="G11" s="154"/>
      <c r="H11" s="155"/>
      <c r="I11" s="16"/>
      <c r="J11" s="154"/>
      <c r="K11" s="155"/>
      <c r="L11" s="16"/>
      <c r="M11" s="154"/>
      <c r="N11" s="155"/>
      <c r="O11" s="16"/>
      <c r="P11" s="154"/>
      <c r="Q11" s="155"/>
      <c r="R11" s="16"/>
      <c r="S11" s="215"/>
      <c r="T11" s="215"/>
    </row>
    <row r="12" spans="2:20" ht="18.75" customHeight="1">
      <c r="B12" s="304"/>
      <c r="C12" s="139"/>
      <c r="D12" s="300"/>
      <c r="E12" s="155"/>
      <c r="F12" s="7"/>
      <c r="G12" s="154"/>
      <c r="H12" s="155"/>
      <c r="I12" s="7"/>
      <c r="J12" s="154"/>
      <c r="K12" s="155"/>
      <c r="L12" s="7"/>
      <c r="M12" s="154"/>
      <c r="N12" s="155"/>
      <c r="O12" s="7"/>
      <c r="P12" s="154"/>
      <c r="Q12" s="155"/>
      <c r="R12" s="7"/>
      <c r="S12" s="214"/>
      <c r="T12" s="214"/>
    </row>
    <row r="13" spans="2:20" ht="19.5" customHeight="1" thickBot="1">
      <c r="B13" s="304"/>
      <c r="C13" s="140"/>
      <c r="D13" s="160" t="s">
        <v>68</v>
      </c>
      <c r="E13" s="159"/>
      <c r="F13" s="9">
        <v>0.25</v>
      </c>
      <c r="G13" s="160" t="s">
        <v>68</v>
      </c>
      <c r="H13" s="159"/>
      <c r="I13" s="9">
        <v>0.25</v>
      </c>
      <c r="J13" s="160" t="s">
        <v>68</v>
      </c>
      <c r="K13" s="159"/>
      <c r="L13" s="9">
        <v>0.25</v>
      </c>
      <c r="M13" s="160" t="s">
        <v>206</v>
      </c>
      <c r="N13" s="159"/>
      <c r="O13" s="9">
        <v>1.5</v>
      </c>
      <c r="P13" s="160" t="s">
        <v>68</v>
      </c>
      <c r="Q13" s="159"/>
      <c r="R13" s="9">
        <v>0.25</v>
      </c>
      <c r="S13" s="215"/>
      <c r="T13" s="215"/>
    </row>
    <row r="14" spans="2:20" ht="19.5" thickBot="1">
      <c r="B14" s="305"/>
      <c r="C14" s="18" t="s">
        <v>76</v>
      </c>
      <c r="D14" s="17"/>
      <c r="E14" s="17"/>
      <c r="F14" s="18">
        <f>SUM(F4:F13)</f>
        <v>7.75</v>
      </c>
      <c r="G14" s="17"/>
      <c r="H14" s="17"/>
      <c r="I14" s="18">
        <f>SUM(I4:I13)</f>
        <v>7.75</v>
      </c>
      <c r="J14" s="17"/>
      <c r="K14" s="17"/>
      <c r="L14" s="18">
        <f>SUM(L4:L13)</f>
        <v>7.75</v>
      </c>
      <c r="M14" s="17"/>
      <c r="N14" s="17"/>
      <c r="O14" s="18">
        <f>SUM(O4:O13)</f>
        <v>7.75</v>
      </c>
      <c r="P14" s="17"/>
      <c r="Q14" s="17"/>
      <c r="R14" s="18">
        <f>SUM(R4:R13)</f>
        <v>7.75</v>
      </c>
    </row>
    <row r="15" spans="2:20" ht="18.75" customHeight="1">
      <c r="B15" s="149" t="s">
        <v>32</v>
      </c>
      <c r="C15" s="138" t="s">
        <v>9</v>
      </c>
      <c r="D15" s="219" t="s">
        <v>166</v>
      </c>
      <c r="E15" s="220"/>
      <c r="F15" s="21">
        <v>0.5</v>
      </c>
      <c r="G15" s="293" t="s">
        <v>166</v>
      </c>
      <c r="H15" s="220"/>
      <c r="I15" s="21">
        <v>0.5</v>
      </c>
      <c r="J15" s="219" t="s">
        <v>166</v>
      </c>
      <c r="K15" s="220"/>
      <c r="L15" s="21">
        <v>0.5</v>
      </c>
      <c r="M15" s="293" t="s">
        <v>166</v>
      </c>
      <c r="N15" s="220"/>
      <c r="O15" s="21">
        <v>0.5</v>
      </c>
      <c r="P15" s="293" t="s">
        <v>166</v>
      </c>
      <c r="Q15" s="220"/>
      <c r="R15" s="21">
        <v>0.5</v>
      </c>
    </row>
    <row r="16" spans="2:20">
      <c r="B16" s="150"/>
      <c r="C16" s="139"/>
      <c r="D16" s="216" t="s">
        <v>229</v>
      </c>
      <c r="E16" s="163"/>
      <c r="F16" s="20">
        <v>0.1</v>
      </c>
      <c r="G16" s="162" t="s">
        <v>230</v>
      </c>
      <c r="H16" s="163"/>
      <c r="I16" s="20">
        <v>0.1</v>
      </c>
      <c r="J16" s="162" t="s">
        <v>231</v>
      </c>
      <c r="K16" s="163"/>
      <c r="L16" s="20">
        <v>0.1</v>
      </c>
      <c r="M16" s="162" t="s">
        <v>232</v>
      </c>
      <c r="N16" s="163"/>
      <c r="O16" s="20">
        <v>0.1</v>
      </c>
      <c r="P16" s="216" t="s">
        <v>233</v>
      </c>
      <c r="Q16" s="163"/>
      <c r="R16" s="20">
        <v>0.1</v>
      </c>
    </row>
    <row r="17" spans="2:18">
      <c r="B17" s="150"/>
      <c r="C17" s="139"/>
      <c r="D17" s="157" t="s">
        <v>319</v>
      </c>
      <c r="E17" s="155"/>
      <c r="F17" s="7">
        <v>1</v>
      </c>
      <c r="G17" s="157" t="s">
        <v>319</v>
      </c>
      <c r="H17" s="155"/>
      <c r="I17" s="7">
        <v>1</v>
      </c>
      <c r="J17" s="157" t="s">
        <v>319</v>
      </c>
      <c r="K17" s="155"/>
      <c r="L17" s="7">
        <v>1</v>
      </c>
      <c r="M17" s="154" t="s">
        <v>263</v>
      </c>
      <c r="N17" s="155"/>
      <c r="O17" s="43">
        <v>1.4</v>
      </c>
      <c r="P17" s="157" t="s">
        <v>295</v>
      </c>
      <c r="Q17" s="155"/>
      <c r="R17" s="7">
        <v>0.5</v>
      </c>
    </row>
    <row r="18" spans="2:18">
      <c r="B18" s="150"/>
      <c r="C18" s="139"/>
      <c r="D18" s="154" t="s">
        <v>320</v>
      </c>
      <c r="E18" s="155"/>
      <c r="F18" s="43">
        <v>1.4</v>
      </c>
      <c r="G18" s="154" t="s">
        <v>263</v>
      </c>
      <c r="H18" s="155"/>
      <c r="I18" s="43">
        <v>1.4</v>
      </c>
      <c r="J18" s="154" t="s">
        <v>263</v>
      </c>
      <c r="K18" s="155"/>
      <c r="L18" s="43">
        <v>1.4</v>
      </c>
      <c r="M18" s="154" t="s">
        <v>321</v>
      </c>
      <c r="N18" s="155"/>
      <c r="O18" s="43">
        <v>0.75</v>
      </c>
      <c r="P18" s="157" t="s">
        <v>322</v>
      </c>
      <c r="Q18" s="155"/>
      <c r="R18" s="7">
        <v>1.9</v>
      </c>
    </row>
    <row r="19" spans="2:18" ht="19.5" thickBot="1">
      <c r="B19" s="150"/>
      <c r="C19" s="140"/>
      <c r="D19" s="217"/>
      <c r="E19" s="218"/>
      <c r="F19" s="9"/>
      <c r="G19" s="217"/>
      <c r="H19" s="218"/>
      <c r="I19" s="9"/>
      <c r="J19" s="340"/>
      <c r="K19" s="218"/>
      <c r="L19" s="9"/>
      <c r="M19" s="335" t="s">
        <v>239</v>
      </c>
      <c r="N19" s="292"/>
      <c r="O19" s="45">
        <v>0.25</v>
      </c>
      <c r="P19" s="217"/>
      <c r="Q19" s="218"/>
      <c r="R19" s="45"/>
    </row>
    <row r="20" spans="2:18" ht="18.75" customHeight="1">
      <c r="B20" s="150"/>
      <c r="C20" s="138" t="s">
        <v>20</v>
      </c>
      <c r="D20" s="154" t="s">
        <v>263</v>
      </c>
      <c r="E20" s="155"/>
      <c r="F20" s="43">
        <v>1</v>
      </c>
      <c r="G20" s="154" t="s">
        <v>263</v>
      </c>
      <c r="H20" s="155"/>
      <c r="I20" s="43">
        <v>1</v>
      </c>
      <c r="J20" s="154" t="s">
        <v>263</v>
      </c>
      <c r="K20" s="155"/>
      <c r="L20" s="43">
        <v>1</v>
      </c>
      <c r="M20" s="157" t="s">
        <v>321</v>
      </c>
      <c r="N20" s="155"/>
      <c r="O20" s="43">
        <v>2</v>
      </c>
      <c r="P20" s="157" t="s">
        <v>323</v>
      </c>
      <c r="Q20" s="155"/>
      <c r="R20" s="43">
        <v>4</v>
      </c>
    </row>
    <row r="21" spans="2:18" ht="18.75" customHeight="1">
      <c r="B21" s="150"/>
      <c r="C21" s="139"/>
      <c r="D21" s="157" t="s">
        <v>324</v>
      </c>
      <c r="E21" s="155"/>
      <c r="F21" s="43">
        <v>3</v>
      </c>
      <c r="G21" s="157" t="s">
        <v>325</v>
      </c>
      <c r="H21" s="155"/>
      <c r="I21" s="43">
        <v>3</v>
      </c>
      <c r="J21" s="157" t="s">
        <v>326</v>
      </c>
      <c r="K21" s="155"/>
      <c r="L21" s="43">
        <v>2.5</v>
      </c>
      <c r="M21" s="154" t="s">
        <v>327</v>
      </c>
      <c r="N21" s="155"/>
      <c r="O21" s="43">
        <v>2</v>
      </c>
      <c r="P21" s="157"/>
      <c r="Q21" s="155"/>
      <c r="R21" s="7"/>
    </row>
    <row r="22" spans="2:18" ht="18.75" customHeight="1">
      <c r="B22" s="150"/>
      <c r="C22" s="139"/>
      <c r="D22" s="157"/>
      <c r="E22" s="155"/>
      <c r="F22" s="7"/>
      <c r="G22" s="157"/>
      <c r="H22" s="155"/>
      <c r="I22" s="7"/>
      <c r="J22" s="157" t="s">
        <v>328</v>
      </c>
      <c r="K22" s="155"/>
      <c r="L22" s="7" t="s">
        <v>38</v>
      </c>
      <c r="M22" s="157"/>
      <c r="N22" s="155"/>
      <c r="O22" s="7"/>
      <c r="P22" s="157"/>
      <c r="Q22" s="155"/>
      <c r="R22" s="7"/>
    </row>
    <row r="23" spans="2:18" ht="18.75" customHeight="1">
      <c r="B23" s="150"/>
      <c r="C23" s="139"/>
      <c r="D23" s="157" t="s">
        <v>328</v>
      </c>
      <c r="E23" s="155"/>
      <c r="F23" s="7" t="s">
        <v>38</v>
      </c>
      <c r="G23" s="157" t="s">
        <v>328</v>
      </c>
      <c r="H23" s="155"/>
      <c r="I23" s="7" t="s">
        <v>38</v>
      </c>
      <c r="J23" s="216" t="s">
        <v>245</v>
      </c>
      <c r="K23" s="163"/>
      <c r="L23" s="44">
        <v>0.5</v>
      </c>
      <c r="M23" s="157" t="s">
        <v>329</v>
      </c>
      <c r="N23" s="155"/>
      <c r="O23" s="7" t="s">
        <v>38</v>
      </c>
      <c r="P23" s="157" t="s">
        <v>329</v>
      </c>
      <c r="Q23" s="155"/>
      <c r="R23" s="7" t="s">
        <v>38</v>
      </c>
    </row>
    <row r="24" spans="2:18" ht="19.5" customHeight="1" thickBot="1">
      <c r="B24" s="150"/>
      <c r="C24" s="140"/>
      <c r="D24" s="329" t="s">
        <v>174</v>
      </c>
      <c r="E24" s="287"/>
      <c r="F24" s="45">
        <v>0.75</v>
      </c>
      <c r="G24" s="329" t="s">
        <v>174</v>
      </c>
      <c r="H24" s="287"/>
      <c r="I24" s="45">
        <v>0.75</v>
      </c>
      <c r="J24" s="329" t="s">
        <v>174</v>
      </c>
      <c r="K24" s="287"/>
      <c r="L24" s="45">
        <v>0.75</v>
      </c>
      <c r="M24" s="329" t="s">
        <v>174</v>
      </c>
      <c r="N24" s="287"/>
      <c r="O24" s="45">
        <v>0.75</v>
      </c>
      <c r="P24" s="329" t="s">
        <v>174</v>
      </c>
      <c r="Q24" s="287"/>
      <c r="R24" s="45">
        <v>0.75</v>
      </c>
    </row>
    <row r="25" spans="2:18" ht="19.5" thickBot="1">
      <c r="B25" s="151"/>
      <c r="C25" s="18" t="s">
        <v>76</v>
      </c>
      <c r="D25" s="17"/>
      <c r="E25" s="17"/>
      <c r="F25" s="18">
        <f>SUM(F15:F24)</f>
        <v>7.75</v>
      </c>
      <c r="G25" s="17"/>
      <c r="H25" s="17"/>
      <c r="I25" s="18">
        <f>SUM(I15:I24)</f>
        <v>7.75</v>
      </c>
      <c r="J25" s="17"/>
      <c r="K25" s="17"/>
      <c r="L25" s="18">
        <f>SUM(L15:L24)</f>
        <v>7.75</v>
      </c>
      <c r="M25" s="17"/>
      <c r="N25" s="17"/>
      <c r="O25" s="18">
        <f>SUM(O15:O24)</f>
        <v>7.75</v>
      </c>
      <c r="P25" s="17"/>
      <c r="Q25" s="17"/>
      <c r="R25" s="18">
        <f>SUM(R15:R24)</f>
        <v>7.75</v>
      </c>
    </row>
    <row r="26" spans="2:18" ht="18.75" customHeight="1">
      <c r="B26" s="149" t="s">
        <v>65</v>
      </c>
      <c r="C26" s="138" t="s">
        <v>9</v>
      </c>
      <c r="D26" s="152" t="s">
        <v>330</v>
      </c>
      <c r="E26" s="153"/>
      <c r="F26" s="6">
        <v>1.5</v>
      </c>
      <c r="G26" s="154" t="s">
        <v>331</v>
      </c>
      <c r="H26" s="155"/>
      <c r="I26" s="7">
        <v>1</v>
      </c>
      <c r="J26" s="154" t="s">
        <v>332</v>
      </c>
      <c r="K26" s="155"/>
      <c r="L26" s="7">
        <v>1</v>
      </c>
      <c r="M26" s="154" t="s">
        <v>333</v>
      </c>
      <c r="N26" s="155"/>
      <c r="O26" s="7">
        <v>1</v>
      </c>
      <c r="P26" s="156" t="s">
        <v>37</v>
      </c>
      <c r="Q26" s="153"/>
      <c r="R26" s="6">
        <v>0.5</v>
      </c>
    </row>
    <row r="27" spans="2:18" ht="18.75" customHeight="1">
      <c r="B27" s="150"/>
      <c r="C27" s="139"/>
      <c r="D27" s="157" t="s">
        <v>334</v>
      </c>
      <c r="E27" s="155"/>
      <c r="F27" s="7">
        <v>1.5</v>
      </c>
      <c r="G27" s="154" t="s">
        <v>335</v>
      </c>
      <c r="H27" s="155"/>
      <c r="I27" s="7">
        <v>2.5</v>
      </c>
      <c r="J27" s="216" t="s">
        <v>336</v>
      </c>
      <c r="K27" s="163"/>
      <c r="L27" s="20">
        <v>1.5</v>
      </c>
      <c r="M27" s="216" t="s">
        <v>337</v>
      </c>
      <c r="N27" s="163"/>
      <c r="O27" s="20">
        <v>1.5</v>
      </c>
      <c r="P27" s="216" t="s">
        <v>338</v>
      </c>
      <c r="Q27" s="163"/>
      <c r="R27" s="20">
        <v>1.5</v>
      </c>
    </row>
    <row r="28" spans="2:18" ht="18.75" customHeight="1">
      <c r="B28" s="150"/>
      <c r="C28" s="139"/>
      <c r="D28" s="157" t="s">
        <v>339</v>
      </c>
      <c r="E28" s="155"/>
      <c r="F28" s="7">
        <v>0.5</v>
      </c>
      <c r="G28" s="154"/>
      <c r="H28" s="155"/>
      <c r="I28" s="7"/>
      <c r="J28" s="154" t="s">
        <v>340</v>
      </c>
      <c r="K28" s="155"/>
      <c r="L28" s="7">
        <v>1</v>
      </c>
      <c r="M28" s="154" t="s">
        <v>340</v>
      </c>
      <c r="N28" s="155"/>
      <c r="O28" s="7">
        <v>1</v>
      </c>
      <c r="P28" s="154"/>
      <c r="Q28" s="155"/>
      <c r="R28" s="7"/>
    </row>
    <row r="29" spans="2:18" ht="18.75" customHeight="1">
      <c r="B29" s="150"/>
      <c r="C29" s="139"/>
      <c r="D29" s="157"/>
      <c r="E29" s="155"/>
      <c r="F29" s="7"/>
      <c r="G29" s="154"/>
      <c r="H29" s="155"/>
      <c r="I29" s="7"/>
      <c r="J29" s="216"/>
      <c r="K29" s="163"/>
      <c r="L29" s="20"/>
      <c r="M29" s="216"/>
      <c r="N29" s="163"/>
      <c r="O29" s="20"/>
      <c r="P29" s="154" t="s">
        <v>341</v>
      </c>
      <c r="Q29" s="155"/>
      <c r="R29" s="12">
        <v>1</v>
      </c>
    </row>
    <row r="30" spans="2:18" ht="19.5" customHeight="1" thickBot="1">
      <c r="B30" s="150"/>
      <c r="C30" s="140"/>
      <c r="D30" s="158"/>
      <c r="E30" s="159"/>
      <c r="F30" s="9"/>
      <c r="G30" s="161"/>
      <c r="H30" s="159"/>
      <c r="I30" s="9"/>
      <c r="J30" s="161"/>
      <c r="K30" s="159"/>
      <c r="L30" s="9"/>
      <c r="M30" s="161"/>
      <c r="N30" s="159"/>
      <c r="O30" s="9"/>
      <c r="P30" s="161"/>
      <c r="Q30" s="159"/>
      <c r="R30" s="9"/>
    </row>
    <row r="31" spans="2:18" ht="18.75" customHeight="1">
      <c r="B31" s="150"/>
      <c r="C31" s="138" t="s">
        <v>20</v>
      </c>
      <c r="D31" s="310" t="s">
        <v>342</v>
      </c>
      <c r="E31" s="220"/>
      <c r="F31" s="21">
        <v>1.5</v>
      </c>
      <c r="G31" s="216" t="s">
        <v>54</v>
      </c>
      <c r="H31" s="163"/>
      <c r="I31" s="7" t="s">
        <v>36</v>
      </c>
      <c r="J31" s="216" t="s">
        <v>54</v>
      </c>
      <c r="K31" s="163"/>
      <c r="L31" s="7" t="s">
        <v>36</v>
      </c>
      <c r="M31" s="216" t="s">
        <v>54</v>
      </c>
      <c r="N31" s="163"/>
      <c r="O31" s="7" t="s">
        <v>36</v>
      </c>
      <c r="P31" s="219" t="s">
        <v>54</v>
      </c>
      <c r="Q31" s="220"/>
      <c r="R31" s="7" t="s">
        <v>36</v>
      </c>
    </row>
    <row r="32" spans="2:18" ht="18.75" customHeight="1">
      <c r="B32" s="150"/>
      <c r="C32" s="139"/>
      <c r="D32" s="162" t="s">
        <v>343</v>
      </c>
      <c r="E32" s="163"/>
      <c r="F32" s="20">
        <v>2</v>
      </c>
      <c r="G32" s="154"/>
      <c r="H32" s="155"/>
      <c r="I32" s="7"/>
      <c r="J32" s="154"/>
      <c r="K32" s="155"/>
      <c r="L32" s="7"/>
      <c r="M32" s="216"/>
      <c r="N32" s="163"/>
      <c r="O32" s="20"/>
      <c r="P32" s="154"/>
      <c r="Q32" s="155"/>
      <c r="R32" s="7"/>
    </row>
    <row r="33" spans="2:18" ht="18.75" customHeight="1">
      <c r="B33" s="150"/>
      <c r="C33" s="139"/>
      <c r="D33" s="157"/>
      <c r="E33" s="155"/>
      <c r="F33" s="7"/>
      <c r="G33" s="154" t="s">
        <v>344</v>
      </c>
      <c r="H33" s="155"/>
      <c r="I33" s="7">
        <v>1.5</v>
      </c>
      <c r="J33" s="154" t="s">
        <v>344</v>
      </c>
      <c r="K33" s="155"/>
      <c r="L33" s="7">
        <v>2</v>
      </c>
      <c r="M33" s="154" t="s">
        <v>344</v>
      </c>
      <c r="N33" s="155"/>
      <c r="O33" s="7">
        <v>2</v>
      </c>
      <c r="P33" s="154" t="s">
        <v>345</v>
      </c>
      <c r="Q33" s="155"/>
      <c r="R33" s="7">
        <v>1</v>
      </c>
    </row>
    <row r="34" spans="2:18" ht="18.75" customHeight="1">
      <c r="B34" s="150"/>
      <c r="C34" s="139"/>
      <c r="D34" s="157"/>
      <c r="E34" s="155"/>
      <c r="F34" s="7"/>
      <c r="G34" s="154" t="s">
        <v>346</v>
      </c>
      <c r="H34" s="155"/>
      <c r="I34" s="7">
        <v>2</v>
      </c>
      <c r="J34" s="154" t="s">
        <v>347</v>
      </c>
      <c r="K34" s="155"/>
      <c r="L34" s="7">
        <v>1.5</v>
      </c>
      <c r="M34" s="154" t="s">
        <v>347</v>
      </c>
      <c r="N34" s="155"/>
      <c r="O34" s="7">
        <v>1.5</v>
      </c>
      <c r="P34" s="154" t="s">
        <v>348</v>
      </c>
      <c r="Q34" s="155"/>
      <c r="R34" s="7">
        <v>3</v>
      </c>
    </row>
    <row r="35" spans="2:18" ht="19.5" customHeight="1" thickBot="1">
      <c r="B35" s="150"/>
      <c r="C35" s="140"/>
      <c r="D35" s="71"/>
      <c r="E35" s="72"/>
      <c r="F35" s="45"/>
      <c r="G35" s="71"/>
      <c r="H35" s="72"/>
      <c r="I35" s="45"/>
      <c r="J35" s="71"/>
      <c r="K35" s="72"/>
      <c r="L35" s="45"/>
      <c r="M35" s="73"/>
      <c r="N35" s="74"/>
      <c r="O35" s="45"/>
      <c r="P35" s="73"/>
      <c r="Q35" s="74"/>
      <c r="R35" s="45"/>
    </row>
    <row r="36" spans="2:18" ht="19.5" thickBot="1">
      <c r="B36" s="151"/>
      <c r="C36" s="18" t="s">
        <v>76</v>
      </c>
      <c r="D36" s="17"/>
      <c r="E36" s="17"/>
      <c r="F36" s="18">
        <f>SUM(F26:F35)</f>
        <v>7</v>
      </c>
      <c r="G36" s="17"/>
      <c r="H36" s="17"/>
      <c r="I36" s="18">
        <f>SUM(I26:I35)</f>
        <v>7</v>
      </c>
      <c r="J36" s="17"/>
      <c r="K36" s="17"/>
      <c r="L36" s="18">
        <f>SUM(L26:L35)</f>
        <v>7</v>
      </c>
      <c r="M36" s="17"/>
      <c r="N36" s="17"/>
      <c r="O36" s="18">
        <f>SUM(O26:O35)</f>
        <v>7</v>
      </c>
      <c r="P36" s="17"/>
      <c r="Q36" s="17"/>
      <c r="R36" s="18">
        <f>SUM(R26:R35)</f>
        <v>7</v>
      </c>
    </row>
    <row r="37" spans="2:18">
      <c r="B37" s="149" t="s">
        <v>146</v>
      </c>
      <c r="C37" s="138" t="s">
        <v>9</v>
      </c>
      <c r="D37" s="323" t="s">
        <v>307</v>
      </c>
      <c r="E37" s="324"/>
      <c r="F37" s="61">
        <v>0.75</v>
      </c>
      <c r="G37" s="323" t="s">
        <v>307</v>
      </c>
      <c r="H37" s="324"/>
      <c r="I37" s="61">
        <v>0.75</v>
      </c>
      <c r="J37" s="323" t="s">
        <v>307</v>
      </c>
      <c r="K37" s="324"/>
      <c r="L37" s="61">
        <v>0.75</v>
      </c>
      <c r="M37" s="323" t="s">
        <v>307</v>
      </c>
      <c r="N37" s="324"/>
      <c r="O37" s="61">
        <v>0.75</v>
      </c>
      <c r="P37" s="323" t="s">
        <v>307</v>
      </c>
      <c r="Q37" s="324"/>
      <c r="R37" s="61">
        <v>0.75</v>
      </c>
    </row>
    <row r="38" spans="2:18">
      <c r="B38" s="150"/>
      <c r="C38" s="139"/>
      <c r="D38" s="318" t="s">
        <v>33</v>
      </c>
      <c r="E38" s="317"/>
      <c r="F38" s="62">
        <v>0.5</v>
      </c>
      <c r="G38" s="318" t="s">
        <v>359</v>
      </c>
      <c r="H38" s="317"/>
      <c r="I38" s="62">
        <v>2.25</v>
      </c>
      <c r="J38" s="318" t="s">
        <v>361</v>
      </c>
      <c r="K38" s="317"/>
      <c r="L38" s="62">
        <v>2.25</v>
      </c>
      <c r="M38" s="318" t="s">
        <v>363</v>
      </c>
      <c r="N38" s="317"/>
      <c r="O38" s="62">
        <v>2.25</v>
      </c>
      <c r="P38" s="318" t="s">
        <v>363</v>
      </c>
      <c r="Q38" s="317"/>
      <c r="R38" s="62">
        <v>2.2000000000000002</v>
      </c>
    </row>
    <row r="39" spans="2:18">
      <c r="B39" s="150"/>
      <c r="C39" s="139"/>
      <c r="D39" s="318" t="s">
        <v>358</v>
      </c>
      <c r="E39" s="317"/>
      <c r="F39" s="32">
        <v>1.75</v>
      </c>
      <c r="G39" s="318"/>
      <c r="H39" s="317"/>
      <c r="I39" s="32"/>
      <c r="J39" s="318"/>
      <c r="K39" s="317"/>
      <c r="L39" s="32"/>
      <c r="M39" s="318"/>
      <c r="N39" s="317"/>
      <c r="O39" s="32"/>
      <c r="P39" s="318"/>
      <c r="Q39" s="317"/>
      <c r="R39" s="32"/>
    </row>
    <row r="40" spans="2:18">
      <c r="B40" s="150"/>
      <c r="C40" s="139"/>
      <c r="D40" s="318"/>
      <c r="E40" s="317"/>
      <c r="F40" s="32"/>
      <c r="G40" s="318"/>
      <c r="H40" s="317"/>
      <c r="I40" s="32"/>
      <c r="J40" s="318"/>
      <c r="K40" s="317"/>
      <c r="L40" s="32"/>
      <c r="M40" s="318"/>
      <c r="N40" s="317"/>
      <c r="O40" s="32"/>
      <c r="P40" s="318"/>
      <c r="Q40" s="317"/>
      <c r="R40" s="32"/>
    </row>
    <row r="41" spans="2:18" ht="19.5" thickBot="1">
      <c r="B41" s="150"/>
      <c r="C41" s="140"/>
      <c r="D41" s="319"/>
      <c r="E41" s="320"/>
      <c r="F41" s="59"/>
      <c r="G41" s="321"/>
      <c r="H41" s="322"/>
      <c r="I41" s="59"/>
      <c r="J41" s="321"/>
      <c r="K41" s="322"/>
      <c r="L41" s="59"/>
      <c r="M41" s="321"/>
      <c r="N41" s="322"/>
      <c r="O41" s="59"/>
      <c r="P41" s="321"/>
      <c r="Q41" s="322"/>
      <c r="R41" s="59"/>
    </row>
    <row r="42" spans="2:18">
      <c r="B42" s="150"/>
      <c r="C42" s="138" t="s">
        <v>20</v>
      </c>
      <c r="D42" s="318" t="s">
        <v>358</v>
      </c>
      <c r="E42" s="317"/>
      <c r="F42" s="69">
        <v>4.25</v>
      </c>
      <c r="G42" s="318" t="s">
        <v>360</v>
      </c>
      <c r="H42" s="317"/>
      <c r="I42" s="69">
        <v>4.25</v>
      </c>
      <c r="J42" s="318" t="s">
        <v>362</v>
      </c>
      <c r="K42" s="317"/>
      <c r="L42" s="69">
        <v>4.25</v>
      </c>
      <c r="M42" s="318" t="s">
        <v>364</v>
      </c>
      <c r="N42" s="317"/>
      <c r="O42" s="69">
        <v>3.75</v>
      </c>
      <c r="P42" s="318" t="s">
        <v>364</v>
      </c>
      <c r="Q42" s="317"/>
      <c r="R42" s="69">
        <v>4.3</v>
      </c>
    </row>
    <row r="43" spans="2:18">
      <c r="B43" s="150"/>
      <c r="C43" s="139"/>
      <c r="D43" s="318"/>
      <c r="E43" s="317"/>
      <c r="F43" s="69"/>
      <c r="G43" s="316"/>
      <c r="H43" s="317"/>
      <c r="I43" s="69"/>
      <c r="J43" s="316"/>
      <c r="K43" s="317"/>
      <c r="L43" s="69"/>
      <c r="M43" s="318" t="s">
        <v>63</v>
      </c>
      <c r="N43" s="317"/>
      <c r="O43" s="69">
        <v>0.5</v>
      </c>
      <c r="P43" s="318"/>
      <c r="Q43" s="317"/>
      <c r="R43" s="69"/>
    </row>
    <row r="44" spans="2:18">
      <c r="B44" s="150"/>
      <c r="C44" s="139"/>
      <c r="D44" s="316"/>
      <c r="E44" s="317"/>
      <c r="F44" s="69"/>
      <c r="G44" s="318"/>
      <c r="H44" s="317"/>
      <c r="I44" s="69"/>
      <c r="J44" s="318"/>
      <c r="K44" s="317"/>
      <c r="L44" s="69"/>
      <c r="M44" s="316"/>
      <c r="N44" s="317"/>
      <c r="O44" s="69"/>
      <c r="P44" s="316"/>
      <c r="Q44" s="317"/>
      <c r="R44" s="69"/>
    </row>
    <row r="45" spans="2:18">
      <c r="B45" s="150"/>
      <c r="C45" s="139"/>
      <c r="D45" s="316"/>
      <c r="E45" s="317"/>
      <c r="F45" s="69"/>
      <c r="G45" s="318"/>
      <c r="H45" s="317"/>
      <c r="I45" s="69"/>
      <c r="J45" s="316"/>
      <c r="K45" s="317"/>
      <c r="L45" s="69"/>
      <c r="M45" s="316"/>
      <c r="N45" s="317"/>
      <c r="O45" s="69"/>
      <c r="P45" s="316"/>
      <c r="Q45" s="317"/>
      <c r="R45" s="69"/>
    </row>
    <row r="46" spans="2:18" ht="19.5" thickBot="1">
      <c r="B46" s="150"/>
      <c r="C46" s="140"/>
      <c r="D46" s="314" t="s">
        <v>200</v>
      </c>
      <c r="E46" s="315"/>
      <c r="F46" s="70">
        <v>0.5</v>
      </c>
      <c r="G46" s="314" t="s">
        <v>200</v>
      </c>
      <c r="H46" s="315"/>
      <c r="I46" s="70">
        <v>0.5</v>
      </c>
      <c r="J46" s="314" t="s">
        <v>200</v>
      </c>
      <c r="K46" s="315"/>
      <c r="L46" s="70">
        <v>0.5</v>
      </c>
      <c r="M46" s="314" t="s">
        <v>200</v>
      </c>
      <c r="N46" s="315"/>
      <c r="O46" s="70">
        <v>0.5</v>
      </c>
      <c r="P46" s="314" t="s">
        <v>200</v>
      </c>
      <c r="Q46" s="315"/>
      <c r="R46" s="70">
        <v>0.5</v>
      </c>
    </row>
    <row r="47" spans="2:18" ht="19.5" thickBot="1">
      <c r="B47" s="151"/>
      <c r="C47" s="18" t="s">
        <v>76</v>
      </c>
      <c r="D47" s="17"/>
      <c r="E47" s="17"/>
      <c r="F47" s="18">
        <f>SUM(F37:F46)</f>
        <v>7.75</v>
      </c>
      <c r="G47" s="17"/>
      <c r="H47" s="17"/>
      <c r="I47" s="18">
        <f>SUM(I37:I46)</f>
        <v>7.75</v>
      </c>
      <c r="J47" s="17"/>
      <c r="K47" s="17"/>
      <c r="L47" s="18">
        <f>SUM(L37:L46)</f>
        <v>7.75</v>
      </c>
      <c r="M47" s="17"/>
      <c r="N47" s="17"/>
      <c r="O47" s="18">
        <f>SUM(O37:O46)</f>
        <v>7.75</v>
      </c>
      <c r="P47" s="17"/>
      <c r="Q47" s="17"/>
      <c r="R47" s="18">
        <f>SUM(R37:R46)</f>
        <v>7.75</v>
      </c>
    </row>
    <row r="49" spans="2:6">
      <c r="B49" s="294" t="s">
        <v>182</v>
      </c>
      <c r="C49" s="295"/>
      <c r="D49" s="49" t="s">
        <v>183</v>
      </c>
      <c r="E49" s="296" t="s">
        <v>184</v>
      </c>
      <c r="F49" s="296"/>
    </row>
  </sheetData>
  <mergeCells count="234">
    <mergeCell ref="M32:N32"/>
    <mergeCell ref="P32:Q32"/>
    <mergeCell ref="M33:N33"/>
    <mergeCell ref="P33:Q33"/>
    <mergeCell ref="M34:N34"/>
    <mergeCell ref="P34:Q34"/>
    <mergeCell ref="M29:N29"/>
    <mergeCell ref="P29:Q29"/>
    <mergeCell ref="M30:N30"/>
    <mergeCell ref="P30:Q30"/>
    <mergeCell ref="M31:N31"/>
    <mergeCell ref="P31:Q31"/>
    <mergeCell ref="M26:N26"/>
    <mergeCell ref="P26:Q26"/>
    <mergeCell ref="M27:N27"/>
    <mergeCell ref="P27:Q27"/>
    <mergeCell ref="M28:N28"/>
    <mergeCell ref="P28:Q28"/>
    <mergeCell ref="D46:E46"/>
    <mergeCell ref="G46:H46"/>
    <mergeCell ref="J46:K46"/>
    <mergeCell ref="M46:N46"/>
    <mergeCell ref="P46:Q46"/>
    <mergeCell ref="P42:Q42"/>
    <mergeCell ref="D43:E43"/>
    <mergeCell ref="G43:H43"/>
    <mergeCell ref="J43:K43"/>
    <mergeCell ref="M43:N43"/>
    <mergeCell ref="P43:Q43"/>
    <mergeCell ref="D41:E41"/>
    <mergeCell ref="G41:H41"/>
    <mergeCell ref="J41:K41"/>
    <mergeCell ref="M41:N41"/>
    <mergeCell ref="P41:Q41"/>
    <mergeCell ref="J39:K39"/>
    <mergeCell ref="M39:N39"/>
    <mergeCell ref="B49:C49"/>
    <mergeCell ref="E49:F49"/>
    <mergeCell ref="D44:E44"/>
    <mergeCell ref="G44:H44"/>
    <mergeCell ref="J44:K44"/>
    <mergeCell ref="M44:N44"/>
    <mergeCell ref="P44:Q44"/>
    <mergeCell ref="D45:E45"/>
    <mergeCell ref="G45:H45"/>
    <mergeCell ref="J45:K45"/>
    <mergeCell ref="M45:N45"/>
    <mergeCell ref="P45:Q45"/>
    <mergeCell ref="C42:C46"/>
    <mergeCell ref="D42:E42"/>
    <mergeCell ref="G42:H42"/>
    <mergeCell ref="J42:K42"/>
    <mergeCell ref="M42:N42"/>
    <mergeCell ref="B37:B47"/>
    <mergeCell ref="C37:C41"/>
    <mergeCell ref="P39:Q39"/>
    <mergeCell ref="D40:E40"/>
    <mergeCell ref="G40:H40"/>
    <mergeCell ref="J40:K40"/>
    <mergeCell ref="M40:N40"/>
    <mergeCell ref="P40:Q40"/>
    <mergeCell ref="M37:N37"/>
    <mergeCell ref="P37:Q37"/>
    <mergeCell ref="D38:E38"/>
    <mergeCell ref="G38:H38"/>
    <mergeCell ref="J38:K38"/>
    <mergeCell ref="M38:N38"/>
    <mergeCell ref="P38:Q38"/>
    <mergeCell ref="D37:E37"/>
    <mergeCell ref="G37:H37"/>
    <mergeCell ref="J37:K37"/>
    <mergeCell ref="D39:E39"/>
    <mergeCell ref="G39:H39"/>
    <mergeCell ref="J28:K28"/>
    <mergeCell ref="D29:E29"/>
    <mergeCell ref="G29:H29"/>
    <mergeCell ref="J32:K32"/>
    <mergeCell ref="D33:E33"/>
    <mergeCell ref="G33:H33"/>
    <mergeCell ref="J33:K33"/>
    <mergeCell ref="D34:E34"/>
    <mergeCell ref="G34:H34"/>
    <mergeCell ref="J34:K34"/>
    <mergeCell ref="J29:K29"/>
    <mergeCell ref="D30:E30"/>
    <mergeCell ref="G30:H30"/>
    <mergeCell ref="J30:K30"/>
    <mergeCell ref="D24:E24"/>
    <mergeCell ref="G24:H24"/>
    <mergeCell ref="J24:K24"/>
    <mergeCell ref="M24:N24"/>
    <mergeCell ref="P24:Q24"/>
    <mergeCell ref="B26:B36"/>
    <mergeCell ref="C26:C30"/>
    <mergeCell ref="D26:E26"/>
    <mergeCell ref="G26:H26"/>
    <mergeCell ref="J26:K26"/>
    <mergeCell ref="C20:C24"/>
    <mergeCell ref="B15:B25"/>
    <mergeCell ref="C15:C19"/>
    <mergeCell ref="C31:C35"/>
    <mergeCell ref="D31:E31"/>
    <mergeCell ref="G31:H31"/>
    <mergeCell ref="J31:K31"/>
    <mergeCell ref="D32:E32"/>
    <mergeCell ref="G32:H32"/>
    <mergeCell ref="D27:E27"/>
    <mergeCell ref="G27:H27"/>
    <mergeCell ref="J27:K27"/>
    <mergeCell ref="D28:E28"/>
    <mergeCell ref="G28:H28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D20:E20"/>
    <mergeCell ref="G20:H20"/>
    <mergeCell ref="J20:K20"/>
    <mergeCell ref="M20:N20"/>
    <mergeCell ref="D18:E18"/>
    <mergeCell ref="G18:H18"/>
    <mergeCell ref="J18:K18"/>
    <mergeCell ref="M18:N18"/>
    <mergeCell ref="P18:Q18"/>
    <mergeCell ref="P15:Q15"/>
    <mergeCell ref="D16:E16"/>
    <mergeCell ref="G16:H16"/>
    <mergeCell ref="J16:K16"/>
    <mergeCell ref="M16:N16"/>
    <mergeCell ref="P16:Q16"/>
    <mergeCell ref="D15:E15"/>
    <mergeCell ref="G15:H15"/>
    <mergeCell ref="J15:K15"/>
    <mergeCell ref="M15:N15"/>
    <mergeCell ref="D17:E17"/>
    <mergeCell ref="G17:H17"/>
    <mergeCell ref="J17:K17"/>
    <mergeCell ref="M17:N17"/>
    <mergeCell ref="S13:T13"/>
    <mergeCell ref="S11:T11"/>
    <mergeCell ref="D12:E12"/>
    <mergeCell ref="G12:H12"/>
    <mergeCell ref="J12:K12"/>
    <mergeCell ref="M12:N12"/>
    <mergeCell ref="P12:Q12"/>
    <mergeCell ref="S12:T12"/>
    <mergeCell ref="P17:Q17"/>
    <mergeCell ref="P11:Q11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3:E13"/>
    <mergeCell ref="G13:H13"/>
    <mergeCell ref="J13:K13"/>
    <mergeCell ref="M13:N13"/>
    <mergeCell ref="P13:Q13"/>
    <mergeCell ref="S8:T8"/>
    <mergeCell ref="G6:H6"/>
    <mergeCell ref="J6:K6"/>
    <mergeCell ref="M6:N6"/>
    <mergeCell ref="P6:Q6"/>
    <mergeCell ref="S6:T6"/>
    <mergeCell ref="D7:E7"/>
    <mergeCell ref="G7:H7"/>
    <mergeCell ref="J7:K7"/>
    <mergeCell ref="M7:N7"/>
    <mergeCell ref="P7:Q7"/>
    <mergeCell ref="S4:T4"/>
    <mergeCell ref="D5:E5"/>
    <mergeCell ref="G5:H5"/>
    <mergeCell ref="J5:K5"/>
    <mergeCell ref="M5:N5"/>
    <mergeCell ref="P5:Q5"/>
    <mergeCell ref="S5:T5"/>
    <mergeCell ref="Q2:Q3"/>
    <mergeCell ref="R2:R3"/>
    <mergeCell ref="B4:B14"/>
    <mergeCell ref="C4:C8"/>
    <mergeCell ref="D4:E4"/>
    <mergeCell ref="G4:H4"/>
    <mergeCell ref="J4:K4"/>
    <mergeCell ref="M4:N4"/>
    <mergeCell ref="P4:Q4"/>
    <mergeCell ref="D6:E6"/>
    <mergeCell ref="K2:K3"/>
    <mergeCell ref="L2:L3"/>
    <mergeCell ref="M2:M3"/>
    <mergeCell ref="N2:N3"/>
    <mergeCell ref="O2:O3"/>
    <mergeCell ref="P2:P3"/>
    <mergeCell ref="D8:E8"/>
    <mergeCell ref="G8:H8"/>
    <mergeCell ref="J8:K8"/>
    <mergeCell ref="M8:N8"/>
    <mergeCell ref="P8:Q8"/>
    <mergeCell ref="P10:Q10"/>
    <mergeCell ref="D11:E11"/>
    <mergeCell ref="G11:H11"/>
    <mergeCell ref="J11:K11"/>
    <mergeCell ref="M11:N11"/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</mergeCells>
  <phoneticPr fontId="1"/>
  <pageMargins left="0.7" right="0.7" top="0.75" bottom="0.75" header="0.3" footer="0.3"/>
  <pageSetup paperSize="8" scale="67" orientation="landscape" horizontalDpi="1200" verticalDpi="1200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C37D1-6FF0-464A-BBC9-0FB0598E454F}">
  <sheetPr codeName="Sheet4"/>
  <dimension ref="B1:T49"/>
  <sheetViews>
    <sheetView view="pageBreakPreview" zoomScale="70" zoomScaleNormal="100" zoomScaleSheetLayoutView="70" workbookViewId="0">
      <selection activeCell="B37" sqref="B37:B47"/>
    </sheetView>
  </sheetViews>
  <sheetFormatPr defaultRowHeight="18.75"/>
  <cols>
    <col min="1" max="1" width="2.5" customWidth="1"/>
    <col min="4" max="18" width="16" customWidth="1"/>
  </cols>
  <sheetData>
    <row r="1" spans="2:20" ht="24.75" thickBot="1">
      <c r="D1" s="53">
        <v>45537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20" s="5" customFormat="1">
      <c r="B2" s="201"/>
      <c r="C2" s="202"/>
      <c r="D2" s="205">
        <f>D1</f>
        <v>45537</v>
      </c>
      <c r="E2" s="195" t="s">
        <v>3</v>
      </c>
      <c r="F2" s="191" t="s">
        <v>4</v>
      </c>
      <c r="G2" s="197">
        <f>D2+1</f>
        <v>45538</v>
      </c>
      <c r="H2" s="195" t="s">
        <v>5</v>
      </c>
      <c r="I2" s="191" t="s">
        <v>4</v>
      </c>
      <c r="J2" s="197">
        <f>G2+1</f>
        <v>45539</v>
      </c>
      <c r="K2" s="195" t="s">
        <v>6</v>
      </c>
      <c r="L2" s="191" t="s">
        <v>4</v>
      </c>
      <c r="M2" s="197">
        <f>J2+1</f>
        <v>45540</v>
      </c>
      <c r="N2" s="195" t="s">
        <v>7</v>
      </c>
      <c r="O2" s="191" t="s">
        <v>4</v>
      </c>
      <c r="P2" s="197">
        <f>M2+1</f>
        <v>45541</v>
      </c>
      <c r="Q2" s="195" t="s">
        <v>8</v>
      </c>
      <c r="R2" s="191" t="s">
        <v>4</v>
      </c>
    </row>
    <row r="3" spans="2:20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20" ht="18.75" customHeight="1">
      <c r="B4" s="303" t="s">
        <v>31</v>
      </c>
      <c r="C4" s="138" t="s">
        <v>9</v>
      </c>
      <c r="D4" s="264" t="s">
        <v>67</v>
      </c>
      <c r="E4" s="153"/>
      <c r="F4" s="6">
        <v>0.5</v>
      </c>
      <c r="G4" s="264" t="s">
        <v>67</v>
      </c>
      <c r="H4" s="153"/>
      <c r="I4" s="6">
        <v>0.5</v>
      </c>
      <c r="J4" s="264" t="s">
        <v>67</v>
      </c>
      <c r="K4" s="153"/>
      <c r="L4" s="6">
        <v>0.5</v>
      </c>
      <c r="M4" s="264" t="s">
        <v>67</v>
      </c>
      <c r="N4" s="153"/>
      <c r="O4" s="6">
        <v>0.5</v>
      </c>
      <c r="P4" s="264" t="s">
        <v>67</v>
      </c>
      <c r="Q4" s="153"/>
      <c r="R4" s="6">
        <v>0.5</v>
      </c>
      <c r="S4" s="211"/>
      <c r="T4" s="211"/>
    </row>
    <row r="5" spans="2:20" ht="18.75" customHeight="1">
      <c r="B5" s="304"/>
      <c r="C5" s="139"/>
      <c r="D5" s="157" t="s">
        <v>71</v>
      </c>
      <c r="E5" s="155"/>
      <c r="F5" s="7">
        <v>0.1</v>
      </c>
      <c r="G5" s="157" t="s">
        <v>71</v>
      </c>
      <c r="H5" s="155"/>
      <c r="I5" s="7">
        <v>0.1</v>
      </c>
      <c r="J5" s="157" t="s">
        <v>71</v>
      </c>
      <c r="K5" s="155"/>
      <c r="L5" s="7">
        <v>0.1</v>
      </c>
      <c r="M5" s="157" t="s">
        <v>71</v>
      </c>
      <c r="N5" s="155"/>
      <c r="O5" s="7">
        <v>0.1</v>
      </c>
      <c r="P5" s="157" t="s">
        <v>71</v>
      </c>
      <c r="Q5" s="155"/>
      <c r="R5" s="7">
        <v>0.1</v>
      </c>
      <c r="S5" s="211"/>
      <c r="T5" s="211"/>
    </row>
    <row r="6" spans="2:20" ht="18.75" customHeight="1">
      <c r="B6" s="304"/>
      <c r="C6" s="139"/>
      <c r="D6" s="226" t="s">
        <v>301</v>
      </c>
      <c r="E6" s="227"/>
      <c r="F6" s="66">
        <v>1.5</v>
      </c>
      <c r="G6" s="154" t="s">
        <v>309</v>
      </c>
      <c r="H6" s="155"/>
      <c r="I6" s="7">
        <v>2.5</v>
      </c>
      <c r="J6" s="226" t="s">
        <v>312</v>
      </c>
      <c r="K6" s="227"/>
      <c r="L6" s="66">
        <v>1.5</v>
      </c>
      <c r="M6" s="154" t="s">
        <v>313</v>
      </c>
      <c r="N6" s="155"/>
      <c r="O6" s="7">
        <v>2.5</v>
      </c>
      <c r="P6" s="154" t="s">
        <v>315</v>
      </c>
      <c r="Q6" s="155"/>
      <c r="R6" s="16">
        <v>1</v>
      </c>
      <c r="S6" s="212"/>
      <c r="T6" s="212"/>
    </row>
    <row r="7" spans="2:20" ht="18.75" customHeight="1">
      <c r="B7" s="304"/>
      <c r="C7" s="139"/>
      <c r="D7" s="154" t="s">
        <v>309</v>
      </c>
      <c r="E7" s="155"/>
      <c r="F7" s="7">
        <v>1</v>
      </c>
      <c r="G7" s="154"/>
      <c r="H7" s="155"/>
      <c r="I7" s="7"/>
      <c r="J7" s="154" t="s">
        <v>288</v>
      </c>
      <c r="K7" s="155"/>
      <c r="L7" s="16">
        <v>1</v>
      </c>
      <c r="M7" s="154"/>
      <c r="N7" s="155"/>
      <c r="O7" s="7"/>
      <c r="P7" s="154" t="s">
        <v>314</v>
      </c>
      <c r="Q7" s="155"/>
      <c r="R7" s="7">
        <v>1.5</v>
      </c>
      <c r="S7" s="8"/>
      <c r="T7" s="8"/>
    </row>
    <row r="8" spans="2:20" ht="19.5" customHeight="1" thickBot="1">
      <c r="B8" s="304"/>
      <c r="C8" s="140"/>
      <c r="D8" s="340"/>
      <c r="E8" s="218"/>
      <c r="F8" s="57"/>
      <c r="G8" s="160"/>
      <c r="H8" s="159"/>
      <c r="I8" s="9"/>
      <c r="J8" s="160"/>
      <c r="K8" s="159"/>
      <c r="L8" s="9"/>
      <c r="M8" s="160"/>
      <c r="N8" s="159"/>
      <c r="O8" s="9"/>
      <c r="P8" s="161"/>
      <c r="Q8" s="159"/>
      <c r="R8" s="9"/>
      <c r="S8" s="214"/>
      <c r="T8" s="214"/>
    </row>
    <row r="9" spans="2:20" ht="18.75" customHeight="1">
      <c r="B9" s="304"/>
      <c r="C9" s="138" t="s">
        <v>20</v>
      </c>
      <c r="D9" s="154" t="s">
        <v>310</v>
      </c>
      <c r="E9" s="155"/>
      <c r="F9" s="16">
        <v>2</v>
      </c>
      <c r="G9" s="154" t="s">
        <v>308</v>
      </c>
      <c r="H9" s="155"/>
      <c r="I9" s="16">
        <v>4.4000000000000004</v>
      </c>
      <c r="J9" s="154" t="s">
        <v>311</v>
      </c>
      <c r="K9" s="155"/>
      <c r="L9" s="16">
        <v>4.4000000000000004</v>
      </c>
      <c r="M9" s="154" t="s">
        <v>313</v>
      </c>
      <c r="N9" s="155"/>
      <c r="O9" s="7">
        <v>3.15</v>
      </c>
      <c r="P9" s="154" t="s">
        <v>288</v>
      </c>
      <c r="Q9" s="155"/>
      <c r="R9" s="16">
        <v>1</v>
      </c>
      <c r="S9" s="11"/>
      <c r="T9" s="11"/>
    </row>
    <row r="10" spans="2:20" ht="18.75" customHeight="1">
      <c r="B10" s="304"/>
      <c r="C10" s="139"/>
      <c r="D10" s="154" t="s">
        <v>309</v>
      </c>
      <c r="E10" s="155"/>
      <c r="F10" s="7">
        <v>2.4</v>
      </c>
      <c r="G10" s="154"/>
      <c r="H10" s="155"/>
      <c r="I10" s="7"/>
      <c r="J10" s="154"/>
      <c r="K10" s="155"/>
      <c r="L10" s="16"/>
      <c r="M10" s="154"/>
      <c r="N10" s="155"/>
      <c r="O10" s="7"/>
      <c r="P10" s="154" t="s">
        <v>317</v>
      </c>
      <c r="Q10" s="155"/>
      <c r="R10" s="7">
        <v>3.4</v>
      </c>
      <c r="S10" s="11"/>
      <c r="T10" s="11"/>
    </row>
    <row r="11" spans="2:20" ht="18.75" customHeight="1">
      <c r="B11" s="304"/>
      <c r="C11" s="139"/>
      <c r="D11" s="300"/>
      <c r="E11" s="155"/>
      <c r="F11" s="7"/>
      <c r="G11" s="154"/>
      <c r="H11" s="155"/>
      <c r="I11" s="16"/>
      <c r="J11" s="154"/>
      <c r="K11" s="155"/>
      <c r="L11" s="16"/>
      <c r="M11" s="154"/>
      <c r="N11" s="155"/>
      <c r="O11" s="16"/>
      <c r="P11" s="154"/>
      <c r="Q11" s="155"/>
      <c r="R11" s="16"/>
      <c r="S11" s="215"/>
      <c r="T11" s="215"/>
    </row>
    <row r="12" spans="2:20" ht="18.75" customHeight="1">
      <c r="B12" s="304"/>
      <c r="C12" s="139"/>
      <c r="D12" s="300"/>
      <c r="E12" s="155"/>
      <c r="F12" s="7"/>
      <c r="G12" s="154"/>
      <c r="H12" s="155"/>
      <c r="I12" s="7"/>
      <c r="J12" s="154"/>
      <c r="K12" s="155"/>
      <c r="L12" s="7"/>
      <c r="M12" s="154"/>
      <c r="N12" s="155"/>
      <c r="O12" s="7"/>
      <c r="P12" s="154"/>
      <c r="Q12" s="155"/>
      <c r="R12" s="7"/>
      <c r="S12" s="214"/>
      <c r="T12" s="214"/>
    </row>
    <row r="13" spans="2:20" ht="19.5" customHeight="1" thickBot="1">
      <c r="B13" s="304"/>
      <c r="C13" s="140"/>
      <c r="D13" s="160" t="s">
        <v>68</v>
      </c>
      <c r="E13" s="159"/>
      <c r="F13" s="9">
        <v>0.25</v>
      </c>
      <c r="G13" s="160" t="s">
        <v>68</v>
      </c>
      <c r="H13" s="159"/>
      <c r="I13" s="9">
        <v>0.25</v>
      </c>
      <c r="J13" s="160" t="s">
        <v>68</v>
      </c>
      <c r="K13" s="159"/>
      <c r="L13" s="9">
        <v>0.25</v>
      </c>
      <c r="M13" s="160" t="s">
        <v>206</v>
      </c>
      <c r="N13" s="159"/>
      <c r="O13" s="9">
        <v>1.5</v>
      </c>
      <c r="P13" s="160" t="s">
        <v>68</v>
      </c>
      <c r="Q13" s="159"/>
      <c r="R13" s="9">
        <v>0.25</v>
      </c>
      <c r="S13" s="215"/>
      <c r="T13" s="215"/>
    </row>
    <row r="14" spans="2:20" ht="19.5" thickBot="1">
      <c r="B14" s="305"/>
      <c r="C14" s="18" t="s">
        <v>76</v>
      </c>
      <c r="D14" s="17"/>
      <c r="E14" s="17"/>
      <c r="F14" s="18">
        <f>SUM(F4:F13)</f>
        <v>7.75</v>
      </c>
      <c r="G14" s="17"/>
      <c r="H14" s="17"/>
      <c r="I14" s="18">
        <f>SUM(I4:I13)</f>
        <v>7.75</v>
      </c>
      <c r="J14" s="17"/>
      <c r="K14" s="17"/>
      <c r="L14" s="18">
        <f>SUM(L4:L13)</f>
        <v>7.75</v>
      </c>
      <c r="M14" s="17"/>
      <c r="N14" s="17"/>
      <c r="O14" s="18">
        <f>SUM(O4:O13)</f>
        <v>7.75</v>
      </c>
      <c r="P14" s="17"/>
      <c r="Q14" s="17"/>
      <c r="R14" s="18">
        <f>SUM(R4:R13)</f>
        <v>7.75</v>
      </c>
    </row>
    <row r="15" spans="2:20" ht="18.75" customHeight="1">
      <c r="B15" s="149" t="s">
        <v>32</v>
      </c>
      <c r="C15" s="138" t="s">
        <v>9</v>
      </c>
      <c r="D15" s="241" t="s">
        <v>166</v>
      </c>
      <c r="E15" s="232"/>
      <c r="F15" s="61">
        <v>0.5</v>
      </c>
      <c r="G15" s="231" t="s">
        <v>166</v>
      </c>
      <c r="H15" s="232"/>
      <c r="I15" s="61">
        <v>0.5</v>
      </c>
      <c r="J15" s="241" t="s">
        <v>166</v>
      </c>
      <c r="K15" s="232"/>
      <c r="L15" s="61">
        <v>0.5</v>
      </c>
      <c r="M15" s="231" t="s">
        <v>166</v>
      </c>
      <c r="N15" s="232"/>
      <c r="O15" s="61">
        <v>0.5</v>
      </c>
      <c r="P15" s="231" t="s">
        <v>166</v>
      </c>
      <c r="Q15" s="232"/>
      <c r="R15" s="61">
        <v>0.5</v>
      </c>
    </row>
    <row r="16" spans="2:20">
      <c r="B16" s="150"/>
      <c r="C16" s="139"/>
      <c r="D16" s="286" t="s">
        <v>229</v>
      </c>
      <c r="E16" s="234"/>
      <c r="F16" s="62">
        <v>0.1</v>
      </c>
      <c r="G16" s="343" t="s">
        <v>230</v>
      </c>
      <c r="H16" s="234"/>
      <c r="I16" s="62">
        <v>0.1</v>
      </c>
      <c r="J16" s="343" t="s">
        <v>231</v>
      </c>
      <c r="K16" s="234"/>
      <c r="L16" s="62">
        <v>0.1</v>
      </c>
      <c r="M16" s="343" t="s">
        <v>232</v>
      </c>
      <c r="N16" s="234"/>
      <c r="O16" s="62">
        <v>0.1</v>
      </c>
      <c r="P16" s="286" t="s">
        <v>233</v>
      </c>
      <c r="Q16" s="234"/>
      <c r="R16" s="62">
        <v>0.1</v>
      </c>
    </row>
    <row r="17" spans="2:18">
      <c r="B17" s="150"/>
      <c r="C17" s="139"/>
      <c r="D17" s="277" t="s">
        <v>294</v>
      </c>
      <c r="E17" s="278"/>
      <c r="F17" s="32">
        <v>2.4</v>
      </c>
      <c r="G17" s="277" t="s">
        <v>294</v>
      </c>
      <c r="H17" s="278"/>
      <c r="I17" s="32">
        <v>1</v>
      </c>
      <c r="J17" s="233" t="s">
        <v>243</v>
      </c>
      <c r="K17" s="184"/>
      <c r="L17" s="32">
        <v>1.5</v>
      </c>
      <c r="M17" s="233" t="s">
        <v>318</v>
      </c>
      <c r="N17" s="184"/>
      <c r="O17" s="32">
        <v>2.4</v>
      </c>
      <c r="P17" s="233" t="s">
        <v>295</v>
      </c>
      <c r="Q17" s="184"/>
      <c r="R17" s="32">
        <v>0.5</v>
      </c>
    </row>
    <row r="18" spans="2:18">
      <c r="B18" s="150"/>
      <c r="C18" s="139"/>
      <c r="D18" s="183"/>
      <c r="E18" s="184"/>
      <c r="F18" s="32"/>
      <c r="G18" s="233" t="s">
        <v>238</v>
      </c>
      <c r="H18" s="184"/>
      <c r="I18" s="63">
        <v>1.4</v>
      </c>
      <c r="J18" s="233"/>
      <c r="K18" s="184"/>
      <c r="L18" s="32"/>
      <c r="M18" s="233"/>
      <c r="N18" s="184"/>
      <c r="O18" s="32"/>
      <c r="P18" s="233" t="s">
        <v>318</v>
      </c>
      <c r="Q18" s="184"/>
      <c r="R18" s="32">
        <v>1.9</v>
      </c>
    </row>
    <row r="19" spans="2:18" ht="19.5" thickBot="1">
      <c r="B19" s="150"/>
      <c r="C19" s="140"/>
      <c r="D19" s="239"/>
      <c r="E19" s="279"/>
      <c r="F19" s="59"/>
      <c r="G19" s="239"/>
      <c r="H19" s="279"/>
      <c r="I19" s="59"/>
      <c r="J19" s="344"/>
      <c r="K19" s="279"/>
      <c r="L19" s="59"/>
      <c r="M19" s="345" t="s">
        <v>239</v>
      </c>
      <c r="N19" s="240"/>
      <c r="O19" s="60">
        <v>0.25</v>
      </c>
      <c r="P19" s="239"/>
      <c r="Q19" s="279"/>
      <c r="R19" s="60"/>
    </row>
    <row r="20" spans="2:18" ht="18.75" customHeight="1">
      <c r="B20" s="150"/>
      <c r="C20" s="138" t="s">
        <v>20</v>
      </c>
      <c r="D20" s="233" t="s">
        <v>238</v>
      </c>
      <c r="E20" s="184"/>
      <c r="F20" s="63">
        <v>2.5</v>
      </c>
      <c r="G20" s="233" t="s">
        <v>238</v>
      </c>
      <c r="H20" s="184"/>
      <c r="I20" s="63">
        <v>2.5</v>
      </c>
      <c r="J20" s="233" t="s">
        <v>296</v>
      </c>
      <c r="K20" s="184"/>
      <c r="L20" s="63">
        <v>1</v>
      </c>
      <c r="M20" s="233" t="s">
        <v>297</v>
      </c>
      <c r="N20" s="184"/>
      <c r="O20" s="63">
        <v>3.75</v>
      </c>
      <c r="P20" s="233" t="s">
        <v>297</v>
      </c>
      <c r="Q20" s="184"/>
      <c r="R20" s="63">
        <v>4</v>
      </c>
    </row>
    <row r="21" spans="2:18" ht="18.75" customHeight="1">
      <c r="B21" s="150"/>
      <c r="C21" s="139"/>
      <c r="D21" s="233" t="s">
        <v>243</v>
      </c>
      <c r="E21" s="184"/>
      <c r="F21" s="32">
        <v>1.5</v>
      </c>
      <c r="G21" s="233" t="s">
        <v>243</v>
      </c>
      <c r="H21" s="184"/>
      <c r="I21" s="32">
        <v>1.5</v>
      </c>
      <c r="J21" s="233" t="s">
        <v>298</v>
      </c>
      <c r="K21" s="184"/>
      <c r="L21" s="32">
        <v>3.4</v>
      </c>
      <c r="M21" s="233"/>
      <c r="N21" s="184"/>
      <c r="O21" s="32"/>
      <c r="P21" s="233"/>
      <c r="Q21" s="184"/>
      <c r="R21" s="32"/>
    </row>
    <row r="22" spans="2:18" ht="18.75" customHeight="1">
      <c r="B22" s="150"/>
      <c r="C22" s="139"/>
      <c r="D22" s="233"/>
      <c r="E22" s="184"/>
      <c r="F22" s="32"/>
      <c r="G22" s="233"/>
      <c r="H22" s="184"/>
      <c r="I22" s="32"/>
      <c r="J22" s="233" t="s">
        <v>180</v>
      </c>
      <c r="K22" s="184"/>
      <c r="L22" s="32" t="s">
        <v>38</v>
      </c>
      <c r="M22" s="233"/>
      <c r="N22" s="184"/>
      <c r="O22" s="32"/>
      <c r="P22" s="233"/>
      <c r="Q22" s="184"/>
      <c r="R22" s="32"/>
    </row>
    <row r="23" spans="2:18" ht="18.75" customHeight="1">
      <c r="B23" s="150"/>
      <c r="C23" s="139"/>
      <c r="D23" s="233" t="s">
        <v>180</v>
      </c>
      <c r="E23" s="184"/>
      <c r="F23" s="32" t="s">
        <v>38</v>
      </c>
      <c r="G23" s="233" t="s">
        <v>180</v>
      </c>
      <c r="H23" s="184"/>
      <c r="I23" s="32" t="s">
        <v>38</v>
      </c>
      <c r="J23" s="286" t="s">
        <v>245</v>
      </c>
      <c r="K23" s="234"/>
      <c r="L23" s="64">
        <v>0.5</v>
      </c>
      <c r="M23" s="233" t="s">
        <v>180</v>
      </c>
      <c r="N23" s="184"/>
      <c r="O23" s="32" t="s">
        <v>38</v>
      </c>
      <c r="P23" s="233" t="s">
        <v>180</v>
      </c>
      <c r="Q23" s="184"/>
      <c r="R23" s="32" t="s">
        <v>38</v>
      </c>
    </row>
    <row r="24" spans="2:18" ht="19.5" customHeight="1" thickBot="1">
      <c r="B24" s="150"/>
      <c r="C24" s="140"/>
      <c r="D24" s="297" t="s">
        <v>174</v>
      </c>
      <c r="E24" s="228"/>
      <c r="F24" s="60">
        <v>0.75</v>
      </c>
      <c r="G24" s="297" t="s">
        <v>174</v>
      </c>
      <c r="H24" s="228"/>
      <c r="I24" s="60">
        <v>0.75</v>
      </c>
      <c r="J24" s="297" t="s">
        <v>174</v>
      </c>
      <c r="K24" s="228"/>
      <c r="L24" s="60">
        <v>0.75</v>
      </c>
      <c r="M24" s="297" t="s">
        <v>174</v>
      </c>
      <c r="N24" s="228"/>
      <c r="O24" s="60">
        <v>0.75</v>
      </c>
      <c r="P24" s="297" t="s">
        <v>174</v>
      </c>
      <c r="Q24" s="228"/>
      <c r="R24" s="60">
        <v>0.75</v>
      </c>
    </row>
    <row r="25" spans="2:18" ht="19.5" thickBot="1">
      <c r="B25" s="151"/>
      <c r="C25" s="18" t="s">
        <v>76</v>
      </c>
      <c r="D25" s="17"/>
      <c r="E25" s="17"/>
      <c r="F25" s="18">
        <f>SUM(F15:F24)</f>
        <v>7.75</v>
      </c>
      <c r="G25" s="17"/>
      <c r="H25" s="17"/>
      <c r="I25" s="18">
        <f>SUM(I15:I24)</f>
        <v>7.75</v>
      </c>
      <c r="J25" s="17"/>
      <c r="K25" s="17"/>
      <c r="L25" s="18">
        <f>SUM(L15:L24)</f>
        <v>7.75</v>
      </c>
      <c r="M25" s="17"/>
      <c r="N25" s="17"/>
      <c r="O25" s="18">
        <f>SUM(O15:O24)</f>
        <v>7.75</v>
      </c>
      <c r="P25" s="17"/>
      <c r="Q25" s="17"/>
      <c r="R25" s="18">
        <f>SUM(R15:R24)</f>
        <v>7.75</v>
      </c>
    </row>
    <row r="26" spans="2:18" ht="18.75" customHeight="1">
      <c r="B26" s="149" t="s">
        <v>65</v>
      </c>
      <c r="C26" s="138" t="s">
        <v>9</v>
      </c>
      <c r="D26" s="357" t="s">
        <v>299</v>
      </c>
      <c r="E26" s="255"/>
      <c r="F26" s="65">
        <v>1.5</v>
      </c>
      <c r="G26" s="253" t="s">
        <v>300</v>
      </c>
      <c r="H26" s="227"/>
      <c r="I26" s="65">
        <v>1.5</v>
      </c>
      <c r="J26" s="253" t="s">
        <v>300</v>
      </c>
      <c r="K26" s="227"/>
      <c r="L26" s="65">
        <v>1.5</v>
      </c>
      <c r="M26" s="349" t="s">
        <v>303</v>
      </c>
      <c r="N26" s="350"/>
      <c r="O26" s="65"/>
      <c r="P26" s="349" t="s">
        <v>303</v>
      </c>
      <c r="Q26" s="350"/>
      <c r="R26" s="65"/>
    </row>
    <row r="27" spans="2:18">
      <c r="B27" s="150"/>
      <c r="C27" s="139"/>
      <c r="D27" s="226" t="s">
        <v>301</v>
      </c>
      <c r="E27" s="227"/>
      <c r="F27" s="66">
        <v>1.5</v>
      </c>
      <c r="G27" s="253" t="s">
        <v>301</v>
      </c>
      <c r="H27" s="227"/>
      <c r="I27" s="66">
        <v>1.5</v>
      </c>
      <c r="J27" s="253" t="s">
        <v>301</v>
      </c>
      <c r="K27" s="227"/>
      <c r="L27" s="66">
        <v>1.5</v>
      </c>
      <c r="M27" s="351"/>
      <c r="N27" s="352"/>
      <c r="O27" s="66"/>
      <c r="P27" s="351"/>
      <c r="Q27" s="352"/>
      <c r="R27" s="66"/>
    </row>
    <row r="28" spans="2:18">
      <c r="B28" s="150"/>
      <c r="C28" s="139"/>
      <c r="D28" s="226"/>
      <c r="E28" s="227"/>
      <c r="F28" s="66"/>
      <c r="G28" s="253"/>
      <c r="H28" s="227"/>
      <c r="I28" s="66"/>
      <c r="J28" s="286" t="s">
        <v>302</v>
      </c>
      <c r="K28" s="234"/>
      <c r="L28" s="62">
        <v>1</v>
      </c>
      <c r="M28" s="351"/>
      <c r="N28" s="352"/>
      <c r="O28" s="62"/>
      <c r="P28" s="351"/>
      <c r="Q28" s="352"/>
      <c r="R28" s="62"/>
    </row>
    <row r="29" spans="2:18">
      <c r="B29" s="150"/>
      <c r="C29" s="139"/>
      <c r="D29" s="226"/>
      <c r="E29" s="227"/>
      <c r="F29" s="66"/>
      <c r="G29" s="253"/>
      <c r="H29" s="227"/>
      <c r="I29" s="67"/>
      <c r="J29" s="253"/>
      <c r="K29" s="227"/>
      <c r="L29" s="67"/>
      <c r="M29" s="351"/>
      <c r="N29" s="352"/>
      <c r="O29" s="66"/>
      <c r="P29" s="351"/>
      <c r="Q29" s="352"/>
      <c r="R29" s="64"/>
    </row>
    <row r="30" spans="2:18" ht="19.5" thickBot="1">
      <c r="B30" s="150"/>
      <c r="C30" s="140"/>
      <c r="D30" s="358"/>
      <c r="E30" s="251"/>
      <c r="F30" s="68"/>
      <c r="G30" s="252"/>
      <c r="H30" s="251"/>
      <c r="I30" s="68"/>
      <c r="J30" s="252"/>
      <c r="K30" s="251"/>
      <c r="L30" s="68"/>
      <c r="M30" s="351"/>
      <c r="N30" s="352"/>
      <c r="O30" s="68"/>
      <c r="P30" s="351"/>
      <c r="Q30" s="352"/>
      <c r="R30" s="68"/>
    </row>
    <row r="31" spans="2:18" ht="18.75" customHeight="1">
      <c r="B31" s="150"/>
      <c r="C31" s="138" t="s">
        <v>20</v>
      </c>
      <c r="D31" s="357" t="s">
        <v>46</v>
      </c>
      <c r="E31" s="255"/>
      <c r="F31" s="65">
        <v>1</v>
      </c>
      <c r="G31" s="286" t="s">
        <v>54</v>
      </c>
      <c r="H31" s="234"/>
      <c r="I31" s="66" t="s">
        <v>36</v>
      </c>
      <c r="J31" s="286" t="s">
        <v>54</v>
      </c>
      <c r="K31" s="234"/>
      <c r="L31" s="66" t="s">
        <v>36</v>
      </c>
      <c r="M31" s="351"/>
      <c r="N31" s="352"/>
      <c r="O31" s="66"/>
      <c r="P31" s="351"/>
      <c r="Q31" s="352"/>
      <c r="R31" s="66"/>
    </row>
    <row r="32" spans="2:18">
      <c r="B32" s="150"/>
      <c r="C32" s="139"/>
      <c r="D32" s="226" t="s">
        <v>48</v>
      </c>
      <c r="E32" s="227"/>
      <c r="F32" s="66">
        <v>1</v>
      </c>
      <c r="G32" s="253" t="s">
        <v>48</v>
      </c>
      <c r="H32" s="227"/>
      <c r="I32" s="66">
        <v>1</v>
      </c>
      <c r="J32" s="253" t="s">
        <v>48</v>
      </c>
      <c r="K32" s="227"/>
      <c r="L32" s="66">
        <v>1</v>
      </c>
      <c r="M32" s="351"/>
      <c r="N32" s="352"/>
      <c r="O32" s="66"/>
      <c r="P32" s="351"/>
      <c r="Q32" s="352"/>
      <c r="R32" s="66"/>
    </row>
    <row r="33" spans="2:18">
      <c r="B33" s="150"/>
      <c r="C33" s="139"/>
      <c r="D33" s="226" t="s">
        <v>304</v>
      </c>
      <c r="E33" s="227"/>
      <c r="F33" s="66">
        <v>1.5</v>
      </c>
      <c r="G33" s="253" t="s">
        <v>304</v>
      </c>
      <c r="H33" s="227"/>
      <c r="I33" s="66">
        <v>1.5</v>
      </c>
      <c r="J33" s="253" t="s">
        <v>304</v>
      </c>
      <c r="K33" s="227"/>
      <c r="L33" s="66">
        <v>1.5</v>
      </c>
      <c r="M33" s="351"/>
      <c r="N33" s="352"/>
      <c r="O33" s="66"/>
      <c r="P33" s="351"/>
      <c r="Q33" s="352"/>
      <c r="R33" s="66"/>
    </row>
    <row r="34" spans="2:18">
      <c r="B34" s="150"/>
      <c r="C34" s="139"/>
      <c r="D34" s="226" t="s">
        <v>122</v>
      </c>
      <c r="E34" s="227"/>
      <c r="F34" s="66" t="s">
        <v>36</v>
      </c>
      <c r="G34" s="355" t="s">
        <v>306</v>
      </c>
      <c r="H34" s="356"/>
      <c r="I34" s="64">
        <v>1</v>
      </c>
      <c r="J34" s="286" t="s">
        <v>305</v>
      </c>
      <c r="K34" s="234"/>
      <c r="L34" s="66"/>
      <c r="M34" s="351"/>
      <c r="N34" s="352"/>
      <c r="O34" s="66"/>
      <c r="P34" s="351"/>
      <c r="Q34" s="352"/>
      <c r="R34" s="66"/>
    </row>
    <row r="35" spans="2:18" ht="19.5" thickBot="1">
      <c r="B35" s="150"/>
      <c r="C35" s="140"/>
      <c r="D35" s="348"/>
      <c r="E35" s="287"/>
      <c r="F35" s="45"/>
      <c r="G35" s="348"/>
      <c r="H35" s="287"/>
      <c r="I35" s="45"/>
      <c r="J35" s="348"/>
      <c r="K35" s="287"/>
      <c r="L35" s="45"/>
      <c r="M35" s="353"/>
      <c r="N35" s="354"/>
      <c r="O35" s="45"/>
      <c r="P35" s="353"/>
      <c r="Q35" s="354"/>
      <c r="R35" s="45"/>
    </row>
    <row r="36" spans="2:18" ht="19.5" thickBot="1">
      <c r="B36" s="151"/>
      <c r="C36" s="18" t="s">
        <v>76</v>
      </c>
      <c r="D36" s="17"/>
      <c r="E36" s="17"/>
      <c r="F36" s="18">
        <f>SUM(F26:F35)</f>
        <v>6.5</v>
      </c>
      <c r="G36" s="17"/>
      <c r="H36" s="17"/>
      <c r="I36" s="18">
        <f>SUM(I26:I35)</f>
        <v>6.5</v>
      </c>
      <c r="J36" s="17"/>
      <c r="K36" s="17"/>
      <c r="L36" s="18">
        <f>SUM(L26:L35)</f>
        <v>6.5</v>
      </c>
      <c r="M36" s="17"/>
      <c r="N36" s="17"/>
      <c r="O36" s="18">
        <f>SUM(O26:O35)</f>
        <v>0</v>
      </c>
      <c r="P36" s="17"/>
      <c r="Q36" s="17"/>
      <c r="R36" s="18">
        <f>SUM(R26:R35)</f>
        <v>0</v>
      </c>
    </row>
    <row r="37" spans="2:18">
      <c r="B37" s="149" t="s">
        <v>146</v>
      </c>
      <c r="C37" s="138" t="s">
        <v>9</v>
      </c>
      <c r="D37" s="323" t="s">
        <v>307</v>
      </c>
      <c r="E37" s="324"/>
      <c r="F37" s="61">
        <v>0.75</v>
      </c>
      <c r="G37" s="323" t="s">
        <v>307</v>
      </c>
      <c r="H37" s="324"/>
      <c r="I37" s="61">
        <v>0.75</v>
      </c>
      <c r="J37" s="323" t="s">
        <v>307</v>
      </c>
      <c r="K37" s="324"/>
      <c r="L37" s="61">
        <v>0.75</v>
      </c>
      <c r="M37" s="323" t="s">
        <v>307</v>
      </c>
      <c r="N37" s="324"/>
      <c r="O37" s="61">
        <v>0.75</v>
      </c>
      <c r="P37" s="323" t="s">
        <v>307</v>
      </c>
      <c r="Q37" s="324"/>
      <c r="R37" s="61">
        <v>0.75</v>
      </c>
    </row>
    <row r="38" spans="2:18">
      <c r="B38" s="150"/>
      <c r="C38" s="139"/>
      <c r="D38" s="318" t="s">
        <v>33</v>
      </c>
      <c r="E38" s="317"/>
      <c r="F38" s="62">
        <v>0.5</v>
      </c>
      <c r="G38" s="318" t="s">
        <v>316</v>
      </c>
      <c r="H38" s="317"/>
      <c r="I38" s="62">
        <v>2.25</v>
      </c>
      <c r="J38" s="318" t="s">
        <v>316</v>
      </c>
      <c r="K38" s="317"/>
      <c r="L38" s="62">
        <v>2.25</v>
      </c>
      <c r="M38" s="318" t="s">
        <v>316</v>
      </c>
      <c r="N38" s="317"/>
      <c r="O38" s="62">
        <v>2.25</v>
      </c>
      <c r="P38" s="318" t="s">
        <v>316</v>
      </c>
      <c r="Q38" s="317"/>
      <c r="R38" s="62">
        <v>2.2000000000000002</v>
      </c>
    </row>
    <row r="39" spans="2:18">
      <c r="B39" s="150"/>
      <c r="C39" s="139"/>
      <c r="D39" s="318" t="s">
        <v>316</v>
      </c>
      <c r="E39" s="317"/>
      <c r="F39" s="32">
        <v>1.75</v>
      </c>
      <c r="G39" s="318"/>
      <c r="H39" s="317"/>
      <c r="I39" s="32"/>
      <c r="J39" s="318"/>
      <c r="K39" s="317"/>
      <c r="L39" s="32"/>
      <c r="M39" s="318"/>
      <c r="N39" s="317"/>
      <c r="O39" s="32"/>
      <c r="P39" s="318"/>
      <c r="Q39" s="317"/>
      <c r="R39" s="32"/>
    </row>
    <row r="40" spans="2:18">
      <c r="B40" s="150"/>
      <c r="C40" s="139"/>
      <c r="D40" s="318"/>
      <c r="E40" s="317"/>
      <c r="F40" s="32"/>
      <c r="G40" s="318"/>
      <c r="H40" s="317"/>
      <c r="I40" s="32"/>
      <c r="J40" s="318"/>
      <c r="K40" s="317"/>
      <c r="L40" s="32"/>
      <c r="M40" s="318"/>
      <c r="N40" s="317"/>
      <c r="O40" s="32"/>
      <c r="P40" s="318"/>
      <c r="Q40" s="317"/>
      <c r="R40" s="32"/>
    </row>
    <row r="41" spans="2:18" ht="19.5" thickBot="1">
      <c r="B41" s="150"/>
      <c r="C41" s="140"/>
      <c r="D41" s="319"/>
      <c r="E41" s="320"/>
      <c r="F41" s="59"/>
      <c r="G41" s="321"/>
      <c r="H41" s="322"/>
      <c r="I41" s="59"/>
      <c r="J41" s="321"/>
      <c r="K41" s="322"/>
      <c r="L41" s="59"/>
      <c r="M41" s="321"/>
      <c r="N41" s="322"/>
      <c r="O41" s="59"/>
      <c r="P41" s="321"/>
      <c r="Q41" s="322"/>
      <c r="R41" s="59"/>
    </row>
    <row r="42" spans="2:18">
      <c r="B42" s="150"/>
      <c r="C42" s="138" t="s">
        <v>20</v>
      </c>
      <c r="D42" s="318" t="s">
        <v>316</v>
      </c>
      <c r="E42" s="317"/>
      <c r="F42" s="69">
        <v>4.25</v>
      </c>
      <c r="G42" s="318" t="s">
        <v>316</v>
      </c>
      <c r="H42" s="317"/>
      <c r="I42" s="69">
        <v>4.25</v>
      </c>
      <c r="J42" s="318" t="s">
        <v>316</v>
      </c>
      <c r="K42" s="317"/>
      <c r="L42" s="69">
        <v>4.25</v>
      </c>
      <c r="M42" s="318" t="s">
        <v>316</v>
      </c>
      <c r="N42" s="317"/>
      <c r="O42" s="69">
        <v>3.75</v>
      </c>
      <c r="P42" s="318" t="s">
        <v>316</v>
      </c>
      <c r="Q42" s="317"/>
      <c r="R42" s="69">
        <v>4.3</v>
      </c>
    </row>
    <row r="43" spans="2:18">
      <c r="B43" s="150"/>
      <c r="C43" s="139"/>
      <c r="D43" s="318"/>
      <c r="E43" s="317"/>
      <c r="F43" s="69"/>
      <c r="G43" s="316"/>
      <c r="H43" s="317"/>
      <c r="I43" s="69"/>
      <c r="J43" s="316"/>
      <c r="K43" s="317"/>
      <c r="L43" s="69"/>
      <c r="M43" s="318" t="s">
        <v>63</v>
      </c>
      <c r="N43" s="317"/>
      <c r="O43" s="69">
        <v>0.5</v>
      </c>
      <c r="P43" s="318"/>
      <c r="Q43" s="317"/>
      <c r="R43" s="69"/>
    </row>
    <row r="44" spans="2:18">
      <c r="B44" s="150"/>
      <c r="C44" s="139"/>
      <c r="D44" s="316"/>
      <c r="E44" s="317"/>
      <c r="F44" s="69"/>
      <c r="G44" s="318"/>
      <c r="H44" s="317"/>
      <c r="I44" s="69"/>
      <c r="J44" s="318"/>
      <c r="K44" s="317"/>
      <c r="L44" s="69"/>
      <c r="M44" s="316"/>
      <c r="N44" s="317"/>
      <c r="O44" s="69"/>
      <c r="P44" s="316"/>
      <c r="Q44" s="317"/>
      <c r="R44" s="69"/>
    </row>
    <row r="45" spans="2:18">
      <c r="B45" s="150"/>
      <c r="C45" s="139"/>
      <c r="D45" s="316"/>
      <c r="E45" s="317"/>
      <c r="F45" s="69"/>
      <c r="G45" s="318"/>
      <c r="H45" s="317"/>
      <c r="I45" s="69"/>
      <c r="J45" s="316"/>
      <c r="K45" s="317"/>
      <c r="L45" s="69"/>
      <c r="M45" s="316"/>
      <c r="N45" s="317"/>
      <c r="O45" s="69"/>
      <c r="P45" s="316"/>
      <c r="Q45" s="317"/>
      <c r="R45" s="69"/>
    </row>
    <row r="46" spans="2:18" ht="19.5" thickBot="1">
      <c r="B46" s="150"/>
      <c r="C46" s="140"/>
      <c r="D46" s="314" t="s">
        <v>200</v>
      </c>
      <c r="E46" s="315"/>
      <c r="F46" s="70">
        <v>0.5</v>
      </c>
      <c r="G46" s="314" t="s">
        <v>200</v>
      </c>
      <c r="H46" s="315"/>
      <c r="I46" s="70">
        <v>0.5</v>
      </c>
      <c r="J46" s="314" t="s">
        <v>200</v>
      </c>
      <c r="K46" s="315"/>
      <c r="L46" s="70">
        <v>0.5</v>
      </c>
      <c r="M46" s="314" t="s">
        <v>200</v>
      </c>
      <c r="N46" s="315"/>
      <c r="O46" s="70">
        <v>0.5</v>
      </c>
      <c r="P46" s="314" t="s">
        <v>200</v>
      </c>
      <c r="Q46" s="315"/>
      <c r="R46" s="70">
        <v>0.5</v>
      </c>
    </row>
    <row r="47" spans="2:18" ht="19.5" thickBot="1">
      <c r="B47" s="151"/>
      <c r="C47" s="18" t="s">
        <v>76</v>
      </c>
      <c r="D47" s="17"/>
      <c r="E47" s="17"/>
      <c r="F47" s="18">
        <f>SUM(F37:F46)</f>
        <v>7.75</v>
      </c>
      <c r="G47" s="17"/>
      <c r="H47" s="17"/>
      <c r="I47" s="18">
        <f>SUM(I37:I46)</f>
        <v>7.75</v>
      </c>
      <c r="J47" s="17"/>
      <c r="K47" s="17"/>
      <c r="L47" s="18">
        <f>SUM(L37:L46)</f>
        <v>7.75</v>
      </c>
      <c r="M47" s="17"/>
      <c r="N47" s="17"/>
      <c r="O47" s="18">
        <f>SUM(O37:O46)</f>
        <v>7.75</v>
      </c>
      <c r="P47" s="17"/>
      <c r="Q47" s="17"/>
      <c r="R47" s="18">
        <f>SUM(R37:R46)</f>
        <v>7.75</v>
      </c>
    </row>
    <row r="49" spans="2:6">
      <c r="B49" s="294" t="s">
        <v>182</v>
      </c>
      <c r="C49" s="295"/>
      <c r="D49" s="49" t="s">
        <v>183</v>
      </c>
      <c r="E49" s="296" t="s">
        <v>184</v>
      </c>
      <c r="F49" s="296"/>
    </row>
  </sheetData>
  <mergeCells count="221"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  <mergeCell ref="B4:B14"/>
    <mergeCell ref="C4:C8"/>
    <mergeCell ref="D4:E4"/>
    <mergeCell ref="G4:H4"/>
    <mergeCell ref="J4:K4"/>
    <mergeCell ref="M4:N4"/>
    <mergeCell ref="P4:Q4"/>
    <mergeCell ref="D6:E6"/>
    <mergeCell ref="K2:K3"/>
    <mergeCell ref="L2:L3"/>
    <mergeCell ref="M2:M3"/>
    <mergeCell ref="N2:N3"/>
    <mergeCell ref="O2:O3"/>
    <mergeCell ref="P2:P3"/>
    <mergeCell ref="D8:E8"/>
    <mergeCell ref="G8:H8"/>
    <mergeCell ref="J8:K8"/>
    <mergeCell ref="M8:N8"/>
    <mergeCell ref="P8:Q8"/>
    <mergeCell ref="P10:Q10"/>
    <mergeCell ref="D11:E11"/>
    <mergeCell ref="G11:H11"/>
    <mergeCell ref="J11:K11"/>
    <mergeCell ref="M11:N11"/>
    <mergeCell ref="S4:T4"/>
    <mergeCell ref="D5:E5"/>
    <mergeCell ref="G5:H5"/>
    <mergeCell ref="J5:K5"/>
    <mergeCell ref="M5:N5"/>
    <mergeCell ref="P5:Q5"/>
    <mergeCell ref="S5:T5"/>
    <mergeCell ref="Q2:Q3"/>
    <mergeCell ref="R2:R3"/>
    <mergeCell ref="S8:T8"/>
    <mergeCell ref="G6:H6"/>
    <mergeCell ref="J6:K6"/>
    <mergeCell ref="M6:N6"/>
    <mergeCell ref="P6:Q6"/>
    <mergeCell ref="S6:T6"/>
    <mergeCell ref="D7:E7"/>
    <mergeCell ref="G7:H7"/>
    <mergeCell ref="J7:K7"/>
    <mergeCell ref="M7:N7"/>
    <mergeCell ref="P7:Q7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3:E13"/>
    <mergeCell ref="G13:H13"/>
    <mergeCell ref="J13:K13"/>
    <mergeCell ref="M13:N13"/>
    <mergeCell ref="P13:Q13"/>
    <mergeCell ref="S13:T13"/>
    <mergeCell ref="S11:T11"/>
    <mergeCell ref="D12:E12"/>
    <mergeCell ref="G12:H12"/>
    <mergeCell ref="J12:K12"/>
    <mergeCell ref="M12:N12"/>
    <mergeCell ref="P12:Q12"/>
    <mergeCell ref="S12:T12"/>
    <mergeCell ref="P17:Q17"/>
    <mergeCell ref="P11:Q11"/>
    <mergeCell ref="D18:E18"/>
    <mergeCell ref="G18:H18"/>
    <mergeCell ref="J18:K18"/>
    <mergeCell ref="M18:N18"/>
    <mergeCell ref="P18:Q18"/>
    <mergeCell ref="P15:Q15"/>
    <mergeCell ref="D16:E16"/>
    <mergeCell ref="G16:H16"/>
    <mergeCell ref="J16:K16"/>
    <mergeCell ref="M16:N16"/>
    <mergeCell ref="P16:Q16"/>
    <mergeCell ref="D15:E15"/>
    <mergeCell ref="G15:H15"/>
    <mergeCell ref="J15:K15"/>
    <mergeCell ref="M15:N15"/>
    <mergeCell ref="D17:E17"/>
    <mergeCell ref="G17:H17"/>
    <mergeCell ref="J17:K17"/>
    <mergeCell ref="M17:N17"/>
    <mergeCell ref="D19:E19"/>
    <mergeCell ref="G19:H19"/>
    <mergeCell ref="J19:K19"/>
    <mergeCell ref="M19:N19"/>
    <mergeCell ref="P19:Q19"/>
    <mergeCell ref="D20:E20"/>
    <mergeCell ref="G20:H20"/>
    <mergeCell ref="J20:K20"/>
    <mergeCell ref="M20:N20"/>
    <mergeCell ref="D23:E23"/>
    <mergeCell ref="G23:H23"/>
    <mergeCell ref="J23:K23"/>
    <mergeCell ref="M23:N23"/>
    <mergeCell ref="P23:Q23"/>
    <mergeCell ref="P20:Q20"/>
    <mergeCell ref="D21:E21"/>
    <mergeCell ref="G21:H21"/>
    <mergeCell ref="J21:K21"/>
    <mergeCell ref="M21:N21"/>
    <mergeCell ref="P21:Q21"/>
    <mergeCell ref="D24:E24"/>
    <mergeCell ref="G24:H24"/>
    <mergeCell ref="J24:K24"/>
    <mergeCell ref="M24:N24"/>
    <mergeCell ref="P24:Q24"/>
    <mergeCell ref="B26:B36"/>
    <mergeCell ref="C26:C30"/>
    <mergeCell ref="D26:E26"/>
    <mergeCell ref="G26:H26"/>
    <mergeCell ref="J26:K26"/>
    <mergeCell ref="C20:C24"/>
    <mergeCell ref="B15:B25"/>
    <mergeCell ref="C15:C19"/>
    <mergeCell ref="D29:E29"/>
    <mergeCell ref="G29:H29"/>
    <mergeCell ref="J29:K29"/>
    <mergeCell ref="D27:E27"/>
    <mergeCell ref="G27:H27"/>
    <mergeCell ref="J27:K27"/>
    <mergeCell ref="D22:E22"/>
    <mergeCell ref="G22:H22"/>
    <mergeCell ref="J22:K22"/>
    <mergeCell ref="M22:N22"/>
    <mergeCell ref="P22:Q22"/>
    <mergeCell ref="C31:C35"/>
    <mergeCell ref="D31:E31"/>
    <mergeCell ref="G31:H31"/>
    <mergeCell ref="J31:K31"/>
    <mergeCell ref="D28:E28"/>
    <mergeCell ref="G28:H28"/>
    <mergeCell ref="J28:K28"/>
    <mergeCell ref="D32:E32"/>
    <mergeCell ref="G32:H32"/>
    <mergeCell ref="J32:K32"/>
    <mergeCell ref="D30:E30"/>
    <mergeCell ref="G30:H30"/>
    <mergeCell ref="J30:K30"/>
    <mergeCell ref="D33:E33"/>
    <mergeCell ref="G33:H33"/>
    <mergeCell ref="D38:E38"/>
    <mergeCell ref="G38:H38"/>
    <mergeCell ref="J38:K38"/>
    <mergeCell ref="M38:N38"/>
    <mergeCell ref="P38:Q38"/>
    <mergeCell ref="D35:E35"/>
    <mergeCell ref="G35:H35"/>
    <mergeCell ref="J35:K35"/>
    <mergeCell ref="D37:E37"/>
    <mergeCell ref="G37:H37"/>
    <mergeCell ref="J37:K37"/>
    <mergeCell ref="M26:N35"/>
    <mergeCell ref="P26:Q35"/>
    <mergeCell ref="J33:K33"/>
    <mergeCell ref="D34:E34"/>
    <mergeCell ref="G34:H34"/>
    <mergeCell ref="J34:K34"/>
    <mergeCell ref="M37:N37"/>
    <mergeCell ref="P37:Q37"/>
    <mergeCell ref="D39:E39"/>
    <mergeCell ref="G39:H39"/>
    <mergeCell ref="J39:K39"/>
    <mergeCell ref="M39:N39"/>
    <mergeCell ref="P39:Q39"/>
    <mergeCell ref="D40:E40"/>
    <mergeCell ref="G40:H40"/>
    <mergeCell ref="J40:K40"/>
    <mergeCell ref="M40:N40"/>
    <mergeCell ref="P40:Q40"/>
    <mergeCell ref="M43:N43"/>
    <mergeCell ref="P43:Q43"/>
    <mergeCell ref="D41:E41"/>
    <mergeCell ref="G41:H41"/>
    <mergeCell ref="J41:K41"/>
    <mergeCell ref="M41:N41"/>
    <mergeCell ref="P41:Q41"/>
    <mergeCell ref="D42:E42"/>
    <mergeCell ref="G42:H42"/>
    <mergeCell ref="J42:K42"/>
    <mergeCell ref="M42:N42"/>
    <mergeCell ref="D46:E46"/>
    <mergeCell ref="G46:H46"/>
    <mergeCell ref="J46:K46"/>
    <mergeCell ref="M46:N46"/>
    <mergeCell ref="P46:Q46"/>
    <mergeCell ref="B49:C49"/>
    <mergeCell ref="E49:F49"/>
    <mergeCell ref="D44:E44"/>
    <mergeCell ref="G44:H44"/>
    <mergeCell ref="J44:K44"/>
    <mergeCell ref="M44:N44"/>
    <mergeCell ref="P44:Q44"/>
    <mergeCell ref="D45:E45"/>
    <mergeCell ref="G45:H45"/>
    <mergeCell ref="J45:K45"/>
    <mergeCell ref="M45:N45"/>
    <mergeCell ref="P45:Q45"/>
    <mergeCell ref="C42:C46"/>
    <mergeCell ref="B37:B47"/>
    <mergeCell ref="C37:C41"/>
    <mergeCell ref="P42:Q42"/>
    <mergeCell ref="D43:E43"/>
    <mergeCell ref="G43:H43"/>
    <mergeCell ref="J43:K43"/>
  </mergeCells>
  <phoneticPr fontId="1"/>
  <pageMargins left="0.7" right="0.7" top="0.75" bottom="0.75" header="0.3" footer="0.3"/>
  <pageSetup paperSize="8" scale="67" orientation="landscape" horizontalDpi="1200" verticalDpi="1200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FD874-FFD9-46E1-A684-75BCC32E42B1}">
  <sheetPr codeName="Sheet5"/>
  <dimension ref="B1:T49"/>
  <sheetViews>
    <sheetView view="pageBreakPreview" topLeftCell="A25" zoomScale="85" zoomScaleNormal="100" zoomScaleSheetLayoutView="85" workbookViewId="0">
      <selection activeCell="R44" sqref="R44"/>
    </sheetView>
  </sheetViews>
  <sheetFormatPr defaultRowHeight="18.75"/>
  <cols>
    <col min="1" max="1" width="2.5" customWidth="1"/>
    <col min="4" max="18" width="16" customWidth="1"/>
  </cols>
  <sheetData>
    <row r="1" spans="2:20" ht="24.75" thickBot="1">
      <c r="D1" s="53">
        <v>45530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20" s="5" customFormat="1">
      <c r="B2" s="201"/>
      <c r="C2" s="202"/>
      <c r="D2" s="205">
        <f>D1</f>
        <v>45530</v>
      </c>
      <c r="E2" s="195" t="s">
        <v>3</v>
      </c>
      <c r="F2" s="191" t="s">
        <v>4</v>
      </c>
      <c r="G2" s="197">
        <f>D2+1</f>
        <v>45531</v>
      </c>
      <c r="H2" s="195" t="s">
        <v>5</v>
      </c>
      <c r="I2" s="191" t="s">
        <v>4</v>
      </c>
      <c r="J2" s="197">
        <f>G2+1</f>
        <v>45532</v>
      </c>
      <c r="K2" s="195" t="s">
        <v>6</v>
      </c>
      <c r="L2" s="191" t="s">
        <v>4</v>
      </c>
      <c r="M2" s="197">
        <f>J2+1</f>
        <v>45533</v>
      </c>
      <c r="N2" s="195" t="s">
        <v>7</v>
      </c>
      <c r="O2" s="191" t="s">
        <v>4</v>
      </c>
      <c r="P2" s="197">
        <f>M2+1</f>
        <v>45534</v>
      </c>
      <c r="Q2" s="195" t="s">
        <v>8</v>
      </c>
      <c r="R2" s="191" t="s">
        <v>4</v>
      </c>
    </row>
    <row r="3" spans="2:20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20" ht="18.75" customHeight="1">
      <c r="B4" s="303" t="s">
        <v>31</v>
      </c>
      <c r="C4" s="138" t="s">
        <v>9</v>
      </c>
      <c r="D4" s="264" t="s">
        <v>67</v>
      </c>
      <c r="E4" s="153"/>
      <c r="F4" s="6">
        <v>0.5</v>
      </c>
      <c r="G4" s="264" t="s">
        <v>67</v>
      </c>
      <c r="H4" s="153"/>
      <c r="I4" s="6">
        <v>0.5</v>
      </c>
      <c r="J4" s="264" t="s">
        <v>67</v>
      </c>
      <c r="K4" s="153"/>
      <c r="L4" s="6">
        <v>0.5</v>
      </c>
      <c r="M4" s="264" t="s">
        <v>67</v>
      </c>
      <c r="N4" s="153"/>
      <c r="O4" s="6">
        <v>0.5</v>
      </c>
      <c r="P4" s="264" t="s">
        <v>67</v>
      </c>
      <c r="Q4" s="153"/>
      <c r="R4" s="6">
        <v>0.5</v>
      </c>
      <c r="S4" s="211"/>
      <c r="T4" s="211"/>
    </row>
    <row r="5" spans="2:20" ht="18.75" customHeight="1">
      <c r="B5" s="304"/>
      <c r="C5" s="139"/>
      <c r="D5" s="157" t="s">
        <v>71</v>
      </c>
      <c r="E5" s="155"/>
      <c r="F5" s="7">
        <v>0.1</v>
      </c>
      <c r="G5" s="157" t="s">
        <v>71</v>
      </c>
      <c r="H5" s="155"/>
      <c r="I5" s="7">
        <v>0.1</v>
      </c>
      <c r="J5" s="157" t="s">
        <v>71</v>
      </c>
      <c r="K5" s="155"/>
      <c r="L5" s="7">
        <v>0.1</v>
      </c>
      <c r="M5" s="157" t="s">
        <v>71</v>
      </c>
      <c r="N5" s="155"/>
      <c r="O5" s="7">
        <v>0.1</v>
      </c>
      <c r="P5" s="157" t="s">
        <v>71</v>
      </c>
      <c r="Q5" s="155"/>
      <c r="R5" s="7">
        <v>0.1</v>
      </c>
      <c r="S5" s="211"/>
      <c r="T5" s="211"/>
    </row>
    <row r="6" spans="2:20" ht="18.75" customHeight="1">
      <c r="B6" s="304"/>
      <c r="C6" s="139"/>
      <c r="D6" s="154" t="s">
        <v>281</v>
      </c>
      <c r="E6" s="155"/>
      <c r="F6" s="7">
        <v>2.5</v>
      </c>
      <c r="G6" s="154" t="s">
        <v>282</v>
      </c>
      <c r="H6" s="155"/>
      <c r="I6" s="7">
        <v>2.5</v>
      </c>
      <c r="J6" s="154" t="s">
        <v>284</v>
      </c>
      <c r="K6" s="155"/>
      <c r="L6" s="7">
        <v>2.5</v>
      </c>
      <c r="M6" s="154" t="s">
        <v>259</v>
      </c>
      <c r="N6" s="155"/>
      <c r="O6" s="16">
        <v>1</v>
      </c>
      <c r="P6" s="154" t="s">
        <v>290</v>
      </c>
      <c r="Q6" s="155"/>
      <c r="R6" s="7">
        <v>2.5</v>
      </c>
      <c r="S6" s="212"/>
      <c r="T6" s="212"/>
    </row>
    <row r="7" spans="2:20" ht="18.75" customHeight="1">
      <c r="B7" s="304"/>
      <c r="C7" s="139"/>
      <c r="D7" s="154"/>
      <c r="E7" s="155"/>
      <c r="F7" s="7"/>
      <c r="G7" s="154"/>
      <c r="H7" s="155"/>
      <c r="I7" s="7"/>
      <c r="J7" s="154"/>
      <c r="K7" s="155"/>
      <c r="L7" s="7"/>
      <c r="M7" s="154" t="s">
        <v>287</v>
      </c>
      <c r="N7" s="155"/>
      <c r="O7" s="7">
        <v>1.5</v>
      </c>
      <c r="P7" s="157"/>
      <c r="Q7" s="136"/>
      <c r="R7" s="16"/>
      <c r="S7" s="8"/>
      <c r="T7" s="8"/>
    </row>
    <row r="8" spans="2:20" ht="19.5" customHeight="1" thickBot="1">
      <c r="B8" s="304"/>
      <c r="C8" s="140"/>
      <c r="D8" s="340"/>
      <c r="E8" s="218"/>
      <c r="F8" s="57"/>
      <c r="G8" s="160"/>
      <c r="H8" s="159"/>
      <c r="I8" s="9"/>
      <c r="J8" s="160"/>
      <c r="K8" s="159"/>
      <c r="L8" s="9"/>
      <c r="M8" s="160"/>
      <c r="N8" s="159"/>
      <c r="O8" s="9"/>
      <c r="P8" s="161"/>
      <c r="Q8" s="159"/>
      <c r="R8" s="9"/>
      <c r="S8" s="214"/>
      <c r="T8" s="214"/>
    </row>
    <row r="9" spans="2:20" ht="18.75" customHeight="1">
      <c r="B9" s="304"/>
      <c r="C9" s="138" t="s">
        <v>20</v>
      </c>
      <c r="D9" s="154" t="s">
        <v>280</v>
      </c>
      <c r="E9" s="155"/>
      <c r="F9" s="16">
        <v>4.4000000000000004</v>
      </c>
      <c r="G9" s="154" t="s">
        <v>283</v>
      </c>
      <c r="H9" s="155"/>
      <c r="I9" s="16">
        <v>3.4</v>
      </c>
      <c r="J9" s="154" t="s">
        <v>284</v>
      </c>
      <c r="K9" s="155"/>
      <c r="L9" s="16">
        <v>4.4000000000000004</v>
      </c>
      <c r="M9" s="154" t="s">
        <v>288</v>
      </c>
      <c r="N9" s="155"/>
      <c r="O9" s="7">
        <v>3.15</v>
      </c>
      <c r="P9" s="154" t="s">
        <v>291</v>
      </c>
      <c r="Q9" s="155"/>
      <c r="R9" s="7">
        <v>4.4000000000000004</v>
      </c>
      <c r="S9" s="11"/>
      <c r="T9" s="11"/>
    </row>
    <row r="10" spans="2:20" ht="18.75" customHeight="1">
      <c r="B10" s="304"/>
      <c r="C10" s="139"/>
      <c r="D10" s="154"/>
      <c r="E10" s="155"/>
      <c r="F10" s="16"/>
      <c r="G10" s="154" t="s">
        <v>278</v>
      </c>
      <c r="H10" s="155"/>
      <c r="I10" s="7">
        <v>1</v>
      </c>
      <c r="J10" s="154"/>
      <c r="K10" s="155"/>
      <c r="L10" s="16"/>
      <c r="M10" s="154"/>
      <c r="N10" s="155"/>
      <c r="O10" s="7"/>
      <c r="P10" s="154"/>
      <c r="Q10" s="155"/>
      <c r="R10" s="7"/>
      <c r="S10" s="11"/>
      <c r="T10" s="11"/>
    </row>
    <row r="11" spans="2:20" ht="18.75" customHeight="1">
      <c r="B11" s="304"/>
      <c r="C11" s="139"/>
      <c r="D11" s="300"/>
      <c r="E11" s="155"/>
      <c r="F11" s="7"/>
      <c r="G11" s="154"/>
      <c r="H11" s="155"/>
      <c r="I11" s="16"/>
      <c r="J11" s="154"/>
      <c r="K11" s="155"/>
      <c r="L11" s="16"/>
      <c r="M11" s="154"/>
      <c r="N11" s="155"/>
      <c r="O11" s="16"/>
      <c r="P11" s="154"/>
      <c r="Q11" s="155"/>
      <c r="R11" s="16"/>
      <c r="S11" s="215"/>
      <c r="T11" s="215"/>
    </row>
    <row r="12" spans="2:20" ht="18.75" customHeight="1">
      <c r="B12" s="304"/>
      <c r="C12" s="139"/>
      <c r="D12" s="300"/>
      <c r="E12" s="155"/>
      <c r="F12" s="7"/>
      <c r="G12" s="154"/>
      <c r="H12" s="155"/>
      <c r="I12" s="7"/>
      <c r="J12" s="154"/>
      <c r="K12" s="155"/>
      <c r="L12" s="7"/>
      <c r="M12" s="154"/>
      <c r="N12" s="155"/>
      <c r="O12" s="7"/>
      <c r="P12" s="154"/>
      <c r="Q12" s="155"/>
      <c r="R12" s="7"/>
      <c r="S12" s="214"/>
      <c r="T12" s="214"/>
    </row>
    <row r="13" spans="2:20" ht="19.5" customHeight="1" thickBot="1">
      <c r="B13" s="304"/>
      <c r="C13" s="140"/>
      <c r="D13" s="160" t="s">
        <v>68</v>
      </c>
      <c r="E13" s="159"/>
      <c r="F13" s="9">
        <v>0.25</v>
      </c>
      <c r="G13" s="160" t="s">
        <v>68</v>
      </c>
      <c r="H13" s="159"/>
      <c r="I13" s="9">
        <v>0.25</v>
      </c>
      <c r="J13" s="160" t="s">
        <v>68</v>
      </c>
      <c r="K13" s="159"/>
      <c r="L13" s="9">
        <v>0.25</v>
      </c>
      <c r="M13" s="160" t="s">
        <v>206</v>
      </c>
      <c r="N13" s="159"/>
      <c r="O13" s="9">
        <v>1.5</v>
      </c>
      <c r="P13" s="160" t="s">
        <v>68</v>
      </c>
      <c r="Q13" s="159"/>
      <c r="R13" s="9">
        <v>0.25</v>
      </c>
      <c r="S13" s="215"/>
      <c r="T13" s="215"/>
    </row>
    <row r="14" spans="2:20" ht="19.5" thickBot="1">
      <c r="B14" s="305"/>
      <c r="C14" s="18" t="s">
        <v>76</v>
      </c>
      <c r="D14" s="17"/>
      <c r="E14" s="17"/>
      <c r="F14" s="18">
        <f>SUM(F4:F13)</f>
        <v>7.75</v>
      </c>
      <c r="G14" s="17"/>
      <c r="H14" s="17"/>
      <c r="I14" s="18">
        <f>SUM(I4:I13)</f>
        <v>7.75</v>
      </c>
      <c r="J14" s="17"/>
      <c r="K14" s="17"/>
      <c r="L14" s="18">
        <f>SUM(L4:L13)</f>
        <v>7.75</v>
      </c>
      <c r="M14" s="17"/>
      <c r="N14" s="17"/>
      <c r="O14" s="18">
        <f>SUM(O4:O13)</f>
        <v>7.75</v>
      </c>
      <c r="P14" s="17"/>
      <c r="Q14" s="17"/>
      <c r="R14" s="18">
        <f>SUM(R4:R13)</f>
        <v>7.75</v>
      </c>
    </row>
    <row r="15" spans="2:20" ht="18.75" customHeight="1">
      <c r="B15" s="149" t="s">
        <v>32</v>
      </c>
      <c r="C15" s="138" t="s">
        <v>9</v>
      </c>
      <c r="D15" s="293" t="s">
        <v>166</v>
      </c>
      <c r="E15" s="220"/>
      <c r="F15" s="21">
        <v>0.5</v>
      </c>
      <c r="G15" s="219" t="s">
        <v>166</v>
      </c>
      <c r="H15" s="220"/>
      <c r="I15" s="21">
        <v>0.5</v>
      </c>
      <c r="J15" s="219" t="s">
        <v>166</v>
      </c>
      <c r="K15" s="220"/>
      <c r="L15" s="21">
        <v>0.5</v>
      </c>
      <c r="M15" s="293" t="s">
        <v>166</v>
      </c>
      <c r="N15" s="220"/>
      <c r="O15" s="21">
        <v>0.5</v>
      </c>
      <c r="P15" s="293" t="s">
        <v>166</v>
      </c>
      <c r="Q15" s="220"/>
      <c r="R15" s="21">
        <v>0.5</v>
      </c>
    </row>
    <row r="16" spans="2:20">
      <c r="B16" s="150"/>
      <c r="C16" s="139"/>
      <c r="D16" s="162" t="s">
        <v>229</v>
      </c>
      <c r="E16" s="163"/>
      <c r="F16" s="20">
        <v>0.5</v>
      </c>
      <c r="G16" s="216" t="s">
        <v>230</v>
      </c>
      <c r="H16" s="163"/>
      <c r="I16" s="20">
        <v>0.5</v>
      </c>
      <c r="J16" s="162" t="s">
        <v>231</v>
      </c>
      <c r="K16" s="163"/>
      <c r="L16" s="20">
        <v>0.5</v>
      </c>
      <c r="M16" s="162" t="s">
        <v>232</v>
      </c>
      <c r="N16" s="163"/>
      <c r="O16" s="20">
        <v>0.5</v>
      </c>
      <c r="P16" s="162" t="s">
        <v>233</v>
      </c>
      <c r="Q16" s="163"/>
      <c r="R16" s="20">
        <v>0.5</v>
      </c>
    </row>
    <row r="17" spans="2:18">
      <c r="B17" s="150"/>
      <c r="C17" s="139"/>
      <c r="D17" s="157" t="s">
        <v>234</v>
      </c>
      <c r="E17" s="155"/>
      <c r="F17" s="7">
        <v>1.5</v>
      </c>
      <c r="G17" s="154" t="s">
        <v>235</v>
      </c>
      <c r="H17" s="155"/>
      <c r="I17" s="7">
        <v>2.5</v>
      </c>
      <c r="J17" s="157" t="s">
        <v>236</v>
      </c>
      <c r="K17" s="155"/>
      <c r="L17" s="7">
        <v>0.5</v>
      </c>
      <c r="M17" s="157" t="s">
        <v>237</v>
      </c>
      <c r="N17" s="155"/>
      <c r="O17" s="7">
        <v>2.25</v>
      </c>
      <c r="P17" s="157" t="s">
        <v>238</v>
      </c>
      <c r="Q17" s="155"/>
      <c r="R17" s="7">
        <v>2.5</v>
      </c>
    </row>
    <row r="18" spans="2:18">
      <c r="B18" s="150"/>
      <c r="C18" s="139"/>
      <c r="D18" s="154" t="s">
        <v>261</v>
      </c>
      <c r="E18" s="155"/>
      <c r="F18" s="7">
        <v>0.5</v>
      </c>
      <c r="G18" s="154"/>
      <c r="H18" s="155"/>
      <c r="I18" s="7"/>
      <c r="J18" s="157" t="s">
        <v>262</v>
      </c>
      <c r="K18" s="155"/>
      <c r="L18" s="7">
        <v>1.5</v>
      </c>
      <c r="M18" s="157"/>
      <c r="N18" s="155"/>
      <c r="O18" s="7"/>
      <c r="P18" s="157"/>
      <c r="Q18" s="155"/>
      <c r="R18" s="7"/>
    </row>
    <row r="19" spans="2:18" ht="19.5" thickBot="1">
      <c r="B19" s="150"/>
      <c r="C19" s="140"/>
      <c r="D19" s="340" t="s">
        <v>292</v>
      </c>
      <c r="E19" s="218"/>
      <c r="F19" s="57">
        <v>0.5</v>
      </c>
      <c r="G19" s="217"/>
      <c r="H19" s="218"/>
      <c r="I19" s="9"/>
      <c r="J19" s="360"/>
      <c r="K19" s="218"/>
      <c r="L19" s="9"/>
      <c r="M19" s="335" t="s">
        <v>239</v>
      </c>
      <c r="N19" s="292"/>
      <c r="O19" s="45">
        <v>0.25</v>
      </c>
      <c r="P19" s="329"/>
      <c r="Q19" s="287"/>
      <c r="R19" s="45"/>
    </row>
    <row r="20" spans="2:18" ht="18.75" customHeight="1">
      <c r="B20" s="150"/>
      <c r="C20" s="138" t="s">
        <v>20</v>
      </c>
      <c r="D20" s="157" t="s">
        <v>240</v>
      </c>
      <c r="E20" s="155"/>
      <c r="F20" s="43">
        <v>3</v>
      </c>
      <c r="G20" s="359" t="s">
        <v>241</v>
      </c>
      <c r="H20" s="268"/>
      <c r="I20" s="43">
        <v>3</v>
      </c>
      <c r="J20" s="359" t="s">
        <v>242</v>
      </c>
      <c r="K20" s="268"/>
      <c r="L20" s="43">
        <v>2.5</v>
      </c>
      <c r="M20" s="157" t="s">
        <v>243</v>
      </c>
      <c r="N20" s="155"/>
      <c r="O20" s="43">
        <v>3</v>
      </c>
      <c r="P20" s="157" t="s">
        <v>238</v>
      </c>
      <c r="Q20" s="155"/>
      <c r="R20" s="43">
        <v>3</v>
      </c>
    </row>
    <row r="21" spans="2:18" ht="18.75" customHeight="1">
      <c r="B21" s="150"/>
      <c r="C21" s="139"/>
      <c r="D21" s="154" t="s">
        <v>263</v>
      </c>
      <c r="E21" s="155"/>
      <c r="F21" s="7">
        <v>0.5</v>
      </c>
      <c r="G21" s="154" t="s">
        <v>263</v>
      </c>
      <c r="H21" s="155"/>
      <c r="I21" s="7">
        <v>0.5</v>
      </c>
      <c r="J21" s="157" t="s">
        <v>279</v>
      </c>
      <c r="K21" s="155"/>
      <c r="L21" s="7">
        <v>1</v>
      </c>
      <c r="M21" s="154" t="s">
        <v>263</v>
      </c>
      <c r="N21" s="155"/>
      <c r="O21" s="7">
        <v>0.5</v>
      </c>
      <c r="P21" s="154" t="s">
        <v>263</v>
      </c>
      <c r="Q21" s="155"/>
      <c r="R21" s="7">
        <v>0.5</v>
      </c>
    </row>
    <row r="22" spans="2:18" ht="18.75" customHeight="1">
      <c r="B22" s="150"/>
      <c r="C22" s="139"/>
      <c r="D22" s="157" t="s">
        <v>180</v>
      </c>
      <c r="E22" s="155"/>
      <c r="F22" s="7" t="s">
        <v>38</v>
      </c>
      <c r="G22" s="157" t="s">
        <v>180</v>
      </c>
      <c r="H22" s="155"/>
      <c r="I22" s="7" t="s">
        <v>38</v>
      </c>
      <c r="J22" s="216"/>
      <c r="K22" s="163"/>
      <c r="L22" s="20"/>
      <c r="M22" s="157"/>
      <c r="N22" s="155"/>
      <c r="O22" s="7"/>
      <c r="P22" s="157"/>
      <c r="Q22" s="155"/>
      <c r="R22" s="7"/>
    </row>
    <row r="23" spans="2:18" ht="18.75" customHeight="1">
      <c r="B23" s="150"/>
      <c r="C23" s="139"/>
      <c r="D23" s="154" t="s">
        <v>264</v>
      </c>
      <c r="E23" s="155"/>
      <c r="F23" s="7" t="s">
        <v>38</v>
      </c>
      <c r="G23" s="154" t="s">
        <v>265</v>
      </c>
      <c r="H23" s="155"/>
      <c r="I23" s="7" t="s">
        <v>38</v>
      </c>
      <c r="J23" s="216" t="s">
        <v>245</v>
      </c>
      <c r="K23" s="163"/>
      <c r="L23" s="44">
        <v>0.5</v>
      </c>
      <c r="M23" s="216"/>
      <c r="N23" s="163"/>
      <c r="O23" s="20"/>
      <c r="P23" s="154"/>
      <c r="Q23" s="155"/>
      <c r="R23" s="7"/>
    </row>
    <row r="24" spans="2:18" ht="19.5" customHeight="1" thickBot="1">
      <c r="B24" s="150"/>
      <c r="C24" s="140"/>
      <c r="D24" s="329" t="s">
        <v>174</v>
      </c>
      <c r="E24" s="287"/>
      <c r="F24" s="45">
        <v>0.75</v>
      </c>
      <c r="G24" s="329" t="s">
        <v>174</v>
      </c>
      <c r="H24" s="287"/>
      <c r="I24" s="45">
        <v>0.75</v>
      </c>
      <c r="J24" s="329" t="s">
        <v>174</v>
      </c>
      <c r="K24" s="287"/>
      <c r="L24" s="45">
        <v>0.75</v>
      </c>
      <c r="M24" s="329" t="s">
        <v>174</v>
      </c>
      <c r="N24" s="287"/>
      <c r="O24" s="45">
        <v>0.75</v>
      </c>
      <c r="P24" s="329" t="s">
        <v>174</v>
      </c>
      <c r="Q24" s="287"/>
      <c r="R24" s="45">
        <v>0.75</v>
      </c>
    </row>
    <row r="25" spans="2:18" ht="19.5" thickBot="1">
      <c r="B25" s="151"/>
      <c r="C25" s="18" t="s">
        <v>76</v>
      </c>
      <c r="D25" s="17"/>
      <c r="E25" s="17"/>
      <c r="F25" s="18">
        <f>SUM(F15:F24)</f>
        <v>7.75</v>
      </c>
      <c r="G25" s="17"/>
      <c r="H25" s="17"/>
      <c r="I25" s="18">
        <f>SUM(I15:I24)</f>
        <v>7.75</v>
      </c>
      <c r="J25" s="17"/>
      <c r="K25" s="17"/>
      <c r="L25" s="18">
        <f>SUM(L15:L24)</f>
        <v>7.75</v>
      </c>
      <c r="M25" s="17"/>
      <c r="N25" s="17"/>
      <c r="O25" s="18">
        <f>SUM(O15:O24)</f>
        <v>7.75</v>
      </c>
      <c r="P25" s="17"/>
      <c r="Q25" s="17"/>
      <c r="R25" s="18">
        <f>SUM(R15:R24)</f>
        <v>7.75</v>
      </c>
    </row>
    <row r="26" spans="2:18" ht="18.75" customHeight="1">
      <c r="B26" s="149" t="s">
        <v>65</v>
      </c>
      <c r="C26" s="138" t="s">
        <v>9</v>
      </c>
      <c r="D26" s="293" t="s">
        <v>266</v>
      </c>
      <c r="E26" s="220"/>
      <c r="F26" s="21">
        <v>2</v>
      </c>
      <c r="G26" s="219" t="s">
        <v>267</v>
      </c>
      <c r="H26" s="220"/>
      <c r="I26" s="21">
        <v>6</v>
      </c>
      <c r="J26" s="219" t="s">
        <v>268</v>
      </c>
      <c r="K26" s="220"/>
      <c r="L26" s="21">
        <v>6</v>
      </c>
      <c r="M26" s="293" t="s">
        <v>35</v>
      </c>
      <c r="N26" s="220"/>
      <c r="O26" s="21">
        <v>2.5</v>
      </c>
      <c r="P26" s="293" t="s">
        <v>272</v>
      </c>
      <c r="Q26" s="220"/>
      <c r="R26" s="21">
        <v>0.5</v>
      </c>
    </row>
    <row r="27" spans="2:18">
      <c r="B27" s="150"/>
      <c r="C27" s="139"/>
      <c r="D27" s="162" t="s">
        <v>269</v>
      </c>
      <c r="E27" s="163"/>
      <c r="F27" s="20">
        <v>1</v>
      </c>
      <c r="G27" s="216"/>
      <c r="H27" s="163"/>
      <c r="I27" s="20"/>
      <c r="J27" s="162"/>
      <c r="K27" s="163"/>
      <c r="L27" s="20"/>
      <c r="M27" s="162"/>
      <c r="N27" s="163"/>
      <c r="O27" s="20"/>
      <c r="P27" s="162" t="s">
        <v>273</v>
      </c>
      <c r="Q27" s="163"/>
      <c r="R27" s="20">
        <v>2.5</v>
      </c>
    </row>
    <row r="28" spans="2:18">
      <c r="B28" s="150"/>
      <c r="C28" s="139"/>
      <c r="D28" s="157" t="s">
        <v>269</v>
      </c>
      <c r="E28" s="155"/>
      <c r="F28" s="56">
        <v>1</v>
      </c>
      <c r="G28" s="244"/>
      <c r="H28" s="245"/>
      <c r="I28" s="56"/>
      <c r="J28" s="283"/>
      <c r="K28" s="245"/>
      <c r="L28" s="56"/>
      <c r="M28" s="283" t="s">
        <v>274</v>
      </c>
      <c r="N28" s="245"/>
      <c r="O28" s="56">
        <v>0.5</v>
      </c>
      <c r="P28" s="283" t="s">
        <v>274</v>
      </c>
      <c r="Q28" s="245"/>
      <c r="R28" s="56">
        <v>0.5</v>
      </c>
    </row>
    <row r="29" spans="2:18">
      <c r="B29" s="150"/>
      <c r="C29" s="139"/>
      <c r="D29" s="154"/>
      <c r="E29" s="155"/>
      <c r="F29" s="56"/>
      <c r="G29" s="244"/>
      <c r="H29" s="245"/>
      <c r="I29" s="56"/>
      <c r="J29" s="283"/>
      <c r="K29" s="245"/>
      <c r="L29" s="56"/>
      <c r="M29" s="283"/>
      <c r="N29" s="245"/>
      <c r="O29" s="56"/>
      <c r="P29" s="283"/>
      <c r="Q29" s="245"/>
      <c r="R29" s="56"/>
    </row>
    <row r="30" spans="2:18" ht="19.5" thickBot="1">
      <c r="B30" s="150"/>
      <c r="C30" s="140"/>
      <c r="D30" s="340" t="s">
        <v>270</v>
      </c>
      <c r="E30" s="218"/>
      <c r="F30" s="57">
        <v>0.5</v>
      </c>
      <c r="G30" s="290" t="s">
        <v>45</v>
      </c>
      <c r="H30" s="291"/>
      <c r="I30" s="57" t="s">
        <v>36</v>
      </c>
      <c r="J30" s="361" t="s">
        <v>273</v>
      </c>
      <c r="K30" s="291"/>
      <c r="L30" s="57" t="s">
        <v>36</v>
      </c>
      <c r="M30" s="335"/>
      <c r="N30" s="292"/>
      <c r="O30" s="45"/>
      <c r="P30" s="329"/>
      <c r="Q30" s="287"/>
      <c r="R30" s="45"/>
    </row>
    <row r="31" spans="2:18" ht="18.75" customHeight="1">
      <c r="B31" s="150"/>
      <c r="C31" s="138" t="s">
        <v>20</v>
      </c>
      <c r="D31" s="157" t="s">
        <v>275</v>
      </c>
      <c r="E31" s="155"/>
      <c r="F31" s="58">
        <v>2</v>
      </c>
      <c r="G31" s="362" t="s">
        <v>276</v>
      </c>
      <c r="H31" s="363"/>
      <c r="I31" s="58" t="s">
        <v>36</v>
      </c>
      <c r="J31" s="362" t="s">
        <v>276</v>
      </c>
      <c r="K31" s="363"/>
      <c r="L31" s="58" t="s">
        <v>36</v>
      </c>
      <c r="M31" s="283" t="s">
        <v>228</v>
      </c>
      <c r="N31" s="245"/>
      <c r="O31" s="58">
        <v>0.5</v>
      </c>
      <c r="P31" s="283" t="s">
        <v>276</v>
      </c>
      <c r="Q31" s="245"/>
      <c r="R31" s="58">
        <v>2</v>
      </c>
    </row>
    <row r="32" spans="2:18">
      <c r="B32" s="150"/>
      <c r="C32" s="139"/>
      <c r="D32" s="154"/>
      <c r="E32" s="155"/>
      <c r="F32" s="56"/>
      <c r="G32" s="244" t="s">
        <v>35</v>
      </c>
      <c r="H32" s="245"/>
      <c r="I32" s="56" t="s">
        <v>102</v>
      </c>
      <c r="J32" s="244" t="s">
        <v>35</v>
      </c>
      <c r="K32" s="245"/>
      <c r="L32" s="56" t="s">
        <v>102</v>
      </c>
      <c r="M32" s="162" t="s">
        <v>273</v>
      </c>
      <c r="N32" s="163"/>
      <c r="O32" s="20">
        <v>2.5</v>
      </c>
      <c r="P32" s="244" t="s">
        <v>271</v>
      </c>
      <c r="Q32" s="245"/>
      <c r="R32" s="56">
        <v>0.5</v>
      </c>
    </row>
    <row r="33" spans="2:18">
      <c r="B33" s="150"/>
      <c r="C33" s="139"/>
      <c r="D33" s="157"/>
      <c r="E33" s="155"/>
      <c r="F33" s="56"/>
      <c r="G33" s="283" t="s">
        <v>274</v>
      </c>
      <c r="H33" s="245"/>
      <c r="I33" s="56">
        <v>0.5</v>
      </c>
      <c r="J33" s="244" t="s">
        <v>48</v>
      </c>
      <c r="K33" s="245"/>
      <c r="L33" s="56">
        <v>0.5</v>
      </c>
      <c r="M33" s="283"/>
      <c r="N33" s="245"/>
      <c r="O33" s="56"/>
      <c r="P33" s="283"/>
      <c r="Q33" s="245"/>
      <c r="R33" s="56"/>
    </row>
    <row r="34" spans="2:18">
      <c r="B34" s="150"/>
      <c r="C34" s="139"/>
      <c r="D34" s="154"/>
      <c r="E34" s="155"/>
      <c r="F34" s="56"/>
      <c r="G34" s="244"/>
      <c r="H34" s="245"/>
      <c r="I34" s="56"/>
      <c r="J34" s="216"/>
      <c r="K34" s="163"/>
      <c r="L34" s="44"/>
      <c r="M34" s="216"/>
      <c r="N34" s="163"/>
      <c r="O34" s="20"/>
      <c r="P34" s="244"/>
      <c r="Q34" s="245"/>
      <c r="R34" s="56"/>
    </row>
    <row r="35" spans="2:18" ht="19.5" thickBot="1">
      <c r="B35" s="150"/>
      <c r="C35" s="140"/>
      <c r="D35" s="329"/>
      <c r="E35" s="287"/>
      <c r="F35" s="45"/>
      <c r="G35" s="329"/>
      <c r="H35" s="287"/>
      <c r="I35" s="45"/>
      <c r="J35" s="329"/>
      <c r="K35" s="287"/>
      <c r="L35" s="45"/>
      <c r="M35" s="329"/>
      <c r="N35" s="287"/>
      <c r="O35" s="45"/>
      <c r="P35" s="329"/>
      <c r="Q35" s="287"/>
      <c r="R35" s="45"/>
    </row>
    <row r="36" spans="2:18" ht="19.5" thickBot="1">
      <c r="B36" s="151"/>
      <c r="C36" s="18" t="s">
        <v>76</v>
      </c>
      <c r="D36" s="17"/>
      <c r="E36" s="17"/>
      <c r="F36" s="18">
        <f>SUM(F26:F35)</f>
        <v>6.5</v>
      </c>
      <c r="G36" s="17"/>
      <c r="H36" s="17"/>
      <c r="I36" s="18">
        <f>SUM(I26:I35)</f>
        <v>6.5</v>
      </c>
      <c r="J36" s="17"/>
      <c r="K36" s="17"/>
      <c r="L36" s="18">
        <f>SUM(L26:L35)</f>
        <v>6.5</v>
      </c>
      <c r="M36" s="17"/>
      <c r="N36" s="17"/>
      <c r="O36" s="18">
        <f>SUM(O26:O35)</f>
        <v>6</v>
      </c>
      <c r="P36" s="17"/>
      <c r="Q36" s="17"/>
      <c r="R36" s="18">
        <f>SUM(R26:R35)</f>
        <v>6</v>
      </c>
    </row>
    <row r="37" spans="2:18">
      <c r="B37" s="149" t="s">
        <v>146</v>
      </c>
      <c r="C37" s="138" t="s">
        <v>9</v>
      </c>
      <c r="D37" s="364" t="s">
        <v>67</v>
      </c>
      <c r="E37" s="365"/>
      <c r="F37" s="52">
        <v>0.5</v>
      </c>
      <c r="G37" s="264" t="s">
        <v>67</v>
      </c>
      <c r="H37" s="153"/>
      <c r="I37" s="6">
        <v>0.5</v>
      </c>
      <c r="J37" s="264" t="s">
        <v>67</v>
      </c>
      <c r="K37" s="153"/>
      <c r="L37" s="6">
        <v>0.5</v>
      </c>
      <c r="M37" s="156" t="s">
        <v>67</v>
      </c>
      <c r="N37" s="153"/>
      <c r="O37" s="6">
        <v>0.5</v>
      </c>
      <c r="P37" s="156" t="s">
        <v>67</v>
      </c>
      <c r="Q37" s="153"/>
      <c r="R37" s="6">
        <v>0.5</v>
      </c>
    </row>
    <row r="38" spans="2:18">
      <c r="B38" s="150"/>
      <c r="C38" s="139"/>
      <c r="D38" s="154" t="s">
        <v>33</v>
      </c>
      <c r="E38" s="155"/>
      <c r="F38" s="7">
        <v>0.5</v>
      </c>
      <c r="G38" s="154" t="s">
        <v>285</v>
      </c>
      <c r="H38" s="155"/>
      <c r="I38" s="16">
        <v>2.5</v>
      </c>
      <c r="J38" s="154" t="s">
        <v>254</v>
      </c>
      <c r="K38" s="155"/>
      <c r="L38" s="16">
        <v>2.5</v>
      </c>
      <c r="M38" s="154" t="s">
        <v>289</v>
      </c>
      <c r="N38" s="155"/>
      <c r="O38" s="16">
        <v>2.5</v>
      </c>
      <c r="P38" s="154" t="s">
        <v>290</v>
      </c>
      <c r="Q38" s="155"/>
      <c r="R38" s="16">
        <v>2.5</v>
      </c>
    </row>
    <row r="39" spans="2:18">
      <c r="B39" s="150"/>
      <c r="C39" s="139"/>
      <c r="D39" s="154" t="s">
        <v>277</v>
      </c>
      <c r="E39" s="155"/>
      <c r="F39" s="16">
        <v>2</v>
      </c>
      <c r="G39" s="157"/>
      <c r="H39" s="155"/>
      <c r="I39" s="7"/>
      <c r="J39" s="157"/>
      <c r="K39" s="155"/>
      <c r="L39" s="7"/>
      <c r="M39" s="157"/>
      <c r="N39" s="155"/>
      <c r="O39" s="7"/>
      <c r="P39" s="157"/>
      <c r="Q39" s="155"/>
      <c r="R39" s="7"/>
    </row>
    <row r="40" spans="2:18">
      <c r="B40" s="150"/>
      <c r="C40" s="139"/>
      <c r="D40" s="300"/>
      <c r="E40" s="155"/>
      <c r="F40" s="7"/>
      <c r="G40" s="154"/>
      <c r="H40" s="155"/>
      <c r="I40" s="7"/>
      <c r="J40" s="154"/>
      <c r="K40" s="155"/>
      <c r="L40" s="7"/>
      <c r="M40" s="154"/>
      <c r="N40" s="155"/>
      <c r="O40" s="7"/>
      <c r="P40" s="154"/>
      <c r="Q40" s="155"/>
      <c r="R40" s="7"/>
    </row>
    <row r="41" spans="2:18" ht="19.5" thickBot="1">
      <c r="B41" s="150"/>
      <c r="C41" s="140"/>
      <c r="D41" s="160"/>
      <c r="E41" s="159"/>
      <c r="F41" s="9"/>
      <c r="G41" s="217"/>
      <c r="H41" s="218"/>
      <c r="I41" s="9"/>
      <c r="J41" s="217"/>
      <c r="K41" s="218"/>
      <c r="L41" s="34"/>
      <c r="M41" s="217"/>
      <c r="N41" s="218"/>
      <c r="O41" s="9"/>
      <c r="P41" s="217"/>
      <c r="Q41" s="218"/>
      <c r="R41" s="9"/>
    </row>
    <row r="42" spans="2:18">
      <c r="B42" s="150"/>
      <c r="C42" s="138" t="s">
        <v>20</v>
      </c>
      <c r="D42" s="154" t="s">
        <v>277</v>
      </c>
      <c r="E42" s="155"/>
      <c r="F42" s="16">
        <v>4.25</v>
      </c>
      <c r="G42" s="154" t="s">
        <v>286</v>
      </c>
      <c r="H42" s="155"/>
      <c r="I42" s="16">
        <v>4.25</v>
      </c>
      <c r="J42" s="154" t="s">
        <v>254</v>
      </c>
      <c r="K42" s="155"/>
      <c r="L42" s="16">
        <v>4.25</v>
      </c>
      <c r="M42" s="154" t="s">
        <v>289</v>
      </c>
      <c r="N42" s="155"/>
      <c r="O42" s="16">
        <v>3.75</v>
      </c>
      <c r="P42" s="154" t="s">
        <v>291</v>
      </c>
      <c r="Q42" s="155"/>
      <c r="R42" s="16">
        <v>3</v>
      </c>
    </row>
    <row r="43" spans="2:18">
      <c r="B43" s="150"/>
      <c r="C43" s="139"/>
      <c r="D43" s="154"/>
      <c r="E43" s="155"/>
      <c r="F43" s="7"/>
      <c r="G43" s="157"/>
      <c r="H43" s="155"/>
      <c r="I43" s="7"/>
      <c r="J43" s="157"/>
      <c r="K43" s="155"/>
      <c r="L43" s="7"/>
      <c r="M43" s="154" t="s">
        <v>63</v>
      </c>
      <c r="N43" s="155"/>
      <c r="O43" s="7">
        <v>0.5</v>
      </c>
      <c r="P43" s="154" t="s">
        <v>293</v>
      </c>
      <c r="Q43" s="155"/>
      <c r="R43" s="7">
        <v>1.25</v>
      </c>
    </row>
    <row r="44" spans="2:18">
      <c r="B44" s="150"/>
      <c r="C44" s="139"/>
      <c r="D44" s="157"/>
      <c r="E44" s="155"/>
      <c r="F44" s="7"/>
      <c r="G44" s="154"/>
      <c r="H44" s="155"/>
      <c r="I44" s="7"/>
      <c r="J44" s="154"/>
      <c r="K44" s="155"/>
      <c r="L44" s="7"/>
      <c r="M44" s="157"/>
      <c r="N44" s="155"/>
      <c r="O44" s="16"/>
      <c r="P44" s="157"/>
      <c r="Q44" s="155"/>
      <c r="R44" s="16"/>
    </row>
    <row r="45" spans="2:18">
      <c r="B45" s="150"/>
      <c r="C45" s="139"/>
      <c r="D45" s="157"/>
      <c r="E45" s="155"/>
      <c r="F45" s="7"/>
      <c r="G45" s="154"/>
      <c r="H45" s="155"/>
      <c r="I45" s="7"/>
      <c r="J45" s="157"/>
      <c r="K45" s="155"/>
      <c r="L45" s="36"/>
      <c r="M45" s="157"/>
      <c r="N45" s="155"/>
      <c r="O45" s="7"/>
      <c r="P45" s="157"/>
      <c r="Q45" s="155"/>
      <c r="R45" s="7"/>
    </row>
    <row r="46" spans="2:18" ht="19.5" thickBot="1">
      <c r="B46" s="150"/>
      <c r="C46" s="140"/>
      <c r="D46" s="329" t="s">
        <v>200</v>
      </c>
      <c r="E46" s="287"/>
      <c r="F46" s="45">
        <v>0.5</v>
      </c>
      <c r="G46" s="329" t="s">
        <v>200</v>
      </c>
      <c r="H46" s="287"/>
      <c r="I46" s="45">
        <v>0.5</v>
      </c>
      <c r="J46" s="329" t="s">
        <v>200</v>
      </c>
      <c r="K46" s="287"/>
      <c r="L46" s="45">
        <v>0.5</v>
      </c>
      <c r="M46" s="329" t="s">
        <v>200</v>
      </c>
      <c r="N46" s="287"/>
      <c r="O46" s="45">
        <v>0.5</v>
      </c>
      <c r="P46" s="329" t="s">
        <v>200</v>
      </c>
      <c r="Q46" s="287"/>
      <c r="R46" s="45">
        <v>0.5</v>
      </c>
    </row>
    <row r="47" spans="2:18" ht="19.5" thickBot="1">
      <c r="B47" s="151"/>
      <c r="C47" s="18" t="s">
        <v>76</v>
      </c>
      <c r="D47" s="17"/>
      <c r="E47" s="17"/>
      <c r="F47" s="18">
        <f>SUM(F37:F46)</f>
        <v>7.75</v>
      </c>
      <c r="G47" s="17"/>
      <c r="H47" s="17"/>
      <c r="I47" s="18">
        <f>SUM(I37:I46)</f>
        <v>7.75</v>
      </c>
      <c r="J47" s="17"/>
      <c r="K47" s="17"/>
      <c r="L47" s="18">
        <f>SUM(L37:L46)</f>
        <v>7.75</v>
      </c>
      <c r="M47" s="17"/>
      <c r="N47" s="17"/>
      <c r="O47" s="18">
        <f>SUM(O37:O46)</f>
        <v>7.75</v>
      </c>
      <c r="P47" s="17"/>
      <c r="Q47" s="17"/>
      <c r="R47" s="18">
        <f>SUM(R37:R46)</f>
        <v>7.75</v>
      </c>
    </row>
    <row r="49" spans="2:6">
      <c r="B49" s="294" t="s">
        <v>182</v>
      </c>
      <c r="C49" s="295"/>
      <c r="D49" s="49" t="s">
        <v>183</v>
      </c>
      <c r="E49" s="296" t="s">
        <v>184</v>
      </c>
      <c r="F49" s="296"/>
    </row>
  </sheetData>
  <mergeCells count="239">
    <mergeCell ref="P38:Q38"/>
    <mergeCell ref="P39:Q39"/>
    <mergeCell ref="P40:Q40"/>
    <mergeCell ref="P41:Q41"/>
    <mergeCell ref="P42:Q42"/>
    <mergeCell ref="P43:Q43"/>
    <mergeCell ref="D46:E46"/>
    <mergeCell ref="G46:H46"/>
    <mergeCell ref="J46:K46"/>
    <mergeCell ref="M46:N46"/>
    <mergeCell ref="P46:Q46"/>
    <mergeCell ref="D39:E39"/>
    <mergeCell ref="G39:H39"/>
    <mergeCell ref="J39:K39"/>
    <mergeCell ref="M39:N39"/>
    <mergeCell ref="D40:E40"/>
    <mergeCell ref="G40:H40"/>
    <mergeCell ref="J40:K40"/>
    <mergeCell ref="M40:N40"/>
    <mergeCell ref="D41:E41"/>
    <mergeCell ref="B49:C49"/>
    <mergeCell ref="E49:F49"/>
    <mergeCell ref="G44:H44"/>
    <mergeCell ref="J44:K44"/>
    <mergeCell ref="M44:N44"/>
    <mergeCell ref="D45:E45"/>
    <mergeCell ref="G45:H45"/>
    <mergeCell ref="J45:K45"/>
    <mergeCell ref="M45:N45"/>
    <mergeCell ref="C42:C46"/>
    <mergeCell ref="D42:E42"/>
    <mergeCell ref="G42:H42"/>
    <mergeCell ref="J42:K42"/>
    <mergeCell ref="M42:N42"/>
    <mergeCell ref="D43:E43"/>
    <mergeCell ref="G43:H43"/>
    <mergeCell ref="J43:K43"/>
    <mergeCell ref="M43:N43"/>
    <mergeCell ref="D44:E44"/>
    <mergeCell ref="D35:E35"/>
    <mergeCell ref="G35:H35"/>
    <mergeCell ref="J35:K35"/>
    <mergeCell ref="M35:N35"/>
    <mergeCell ref="P35:Q35"/>
    <mergeCell ref="B37:B47"/>
    <mergeCell ref="C37:C41"/>
    <mergeCell ref="D37:E37"/>
    <mergeCell ref="G37:H37"/>
    <mergeCell ref="J37:K37"/>
    <mergeCell ref="C31:C35"/>
    <mergeCell ref="B26:B36"/>
    <mergeCell ref="C26:C30"/>
    <mergeCell ref="M37:N37"/>
    <mergeCell ref="P37:Q37"/>
    <mergeCell ref="D38:E38"/>
    <mergeCell ref="G38:H38"/>
    <mergeCell ref="J38:K38"/>
    <mergeCell ref="M38:N38"/>
    <mergeCell ref="G41:H41"/>
    <mergeCell ref="J41:K41"/>
    <mergeCell ref="M41:N41"/>
    <mergeCell ref="P44:Q44"/>
    <mergeCell ref="P45:Q45"/>
    <mergeCell ref="D33:E33"/>
    <mergeCell ref="G33:H33"/>
    <mergeCell ref="J33:K33"/>
    <mergeCell ref="M33:N33"/>
    <mergeCell ref="P33:Q33"/>
    <mergeCell ref="D34:E34"/>
    <mergeCell ref="G34:H34"/>
    <mergeCell ref="J34:K34"/>
    <mergeCell ref="M34:N34"/>
    <mergeCell ref="P34:Q34"/>
    <mergeCell ref="P31:Q31"/>
    <mergeCell ref="D32:E32"/>
    <mergeCell ref="G32:H32"/>
    <mergeCell ref="J32:K32"/>
    <mergeCell ref="M32:N32"/>
    <mergeCell ref="P32:Q32"/>
    <mergeCell ref="D30:E30"/>
    <mergeCell ref="G30:H30"/>
    <mergeCell ref="J30:K30"/>
    <mergeCell ref="M30:N30"/>
    <mergeCell ref="P30:Q30"/>
    <mergeCell ref="D31:E31"/>
    <mergeCell ref="G31:H31"/>
    <mergeCell ref="J31:K31"/>
    <mergeCell ref="M31:N31"/>
    <mergeCell ref="D28:E28"/>
    <mergeCell ref="G28:H28"/>
    <mergeCell ref="J28:K28"/>
    <mergeCell ref="M28:N28"/>
    <mergeCell ref="P28:Q28"/>
    <mergeCell ref="D29:E29"/>
    <mergeCell ref="G29:H29"/>
    <mergeCell ref="J29:K29"/>
    <mergeCell ref="M29:N29"/>
    <mergeCell ref="P29:Q29"/>
    <mergeCell ref="M26:N26"/>
    <mergeCell ref="P26:Q26"/>
    <mergeCell ref="D27:E27"/>
    <mergeCell ref="G27:H27"/>
    <mergeCell ref="J27:K27"/>
    <mergeCell ref="M27:N27"/>
    <mergeCell ref="P27:Q27"/>
    <mergeCell ref="D24:E24"/>
    <mergeCell ref="G24:H24"/>
    <mergeCell ref="J24:K24"/>
    <mergeCell ref="M24:N24"/>
    <mergeCell ref="P24:Q24"/>
    <mergeCell ref="D26:E26"/>
    <mergeCell ref="G26:H26"/>
    <mergeCell ref="J26:K26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  <mergeCell ref="M18:N18"/>
    <mergeCell ref="P18:Q18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D16:E16"/>
    <mergeCell ref="G16:H16"/>
    <mergeCell ref="J16:K16"/>
    <mergeCell ref="M16:N16"/>
    <mergeCell ref="P16:Q16"/>
    <mergeCell ref="B15:B25"/>
    <mergeCell ref="C15:C19"/>
    <mergeCell ref="D15:E15"/>
    <mergeCell ref="G15:H15"/>
    <mergeCell ref="J15:K15"/>
    <mergeCell ref="M15:N15"/>
    <mergeCell ref="D17:E17"/>
    <mergeCell ref="G17:H17"/>
    <mergeCell ref="J17:K17"/>
    <mergeCell ref="M17:N17"/>
    <mergeCell ref="C20:C24"/>
    <mergeCell ref="D20:E20"/>
    <mergeCell ref="G20:H20"/>
    <mergeCell ref="J20:K20"/>
    <mergeCell ref="M20:N20"/>
    <mergeCell ref="P17:Q17"/>
    <mergeCell ref="D18:E18"/>
    <mergeCell ref="G18:H18"/>
    <mergeCell ref="J18:K18"/>
    <mergeCell ref="S13:T13"/>
    <mergeCell ref="S11:T11"/>
    <mergeCell ref="D12:E12"/>
    <mergeCell ref="G12:H12"/>
    <mergeCell ref="J12:K12"/>
    <mergeCell ref="M12:N12"/>
    <mergeCell ref="P12:Q12"/>
    <mergeCell ref="S12:T12"/>
    <mergeCell ref="P15:Q15"/>
    <mergeCell ref="P11:Q11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M10:N10"/>
    <mergeCell ref="D13:E13"/>
    <mergeCell ref="G13:H13"/>
    <mergeCell ref="J13:K13"/>
    <mergeCell ref="M13:N13"/>
    <mergeCell ref="P13:Q13"/>
    <mergeCell ref="S8:T8"/>
    <mergeCell ref="G6:H6"/>
    <mergeCell ref="J6:K6"/>
    <mergeCell ref="M6:N6"/>
    <mergeCell ref="P6:Q6"/>
    <mergeCell ref="S6:T6"/>
    <mergeCell ref="D7:E7"/>
    <mergeCell ref="G7:H7"/>
    <mergeCell ref="J7:K7"/>
    <mergeCell ref="M7:N7"/>
    <mergeCell ref="P7:Q7"/>
    <mergeCell ref="S4:T4"/>
    <mergeCell ref="D5:E5"/>
    <mergeCell ref="G5:H5"/>
    <mergeCell ref="J5:K5"/>
    <mergeCell ref="M5:N5"/>
    <mergeCell ref="P5:Q5"/>
    <mergeCell ref="S5:T5"/>
    <mergeCell ref="Q2:Q3"/>
    <mergeCell ref="R2:R3"/>
    <mergeCell ref="B4:B14"/>
    <mergeCell ref="C4:C8"/>
    <mergeCell ref="D4:E4"/>
    <mergeCell ref="G4:H4"/>
    <mergeCell ref="J4:K4"/>
    <mergeCell ref="M4:N4"/>
    <mergeCell ref="P4:Q4"/>
    <mergeCell ref="D6:E6"/>
    <mergeCell ref="K2:K3"/>
    <mergeCell ref="L2:L3"/>
    <mergeCell ref="M2:M3"/>
    <mergeCell ref="N2:N3"/>
    <mergeCell ref="O2:O3"/>
    <mergeCell ref="P2:P3"/>
    <mergeCell ref="D8:E8"/>
    <mergeCell ref="G8:H8"/>
    <mergeCell ref="J8:K8"/>
    <mergeCell ref="M8:N8"/>
    <mergeCell ref="P8:Q8"/>
    <mergeCell ref="P10:Q10"/>
    <mergeCell ref="D11:E11"/>
    <mergeCell ref="G11:H11"/>
    <mergeCell ref="J11:K11"/>
    <mergeCell ref="M11:N11"/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</mergeCells>
  <phoneticPr fontId="5"/>
  <pageMargins left="0.7" right="0.7" top="0.75" bottom="0.75" header="0.3" footer="0.3"/>
  <pageSetup paperSize="8" scale="67" orientation="landscape" horizontalDpi="1200" verticalDpi="1200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AA565-8818-453F-83C4-0C99AA5164D0}">
  <sheetPr codeName="Sheet6"/>
  <dimension ref="B1:T49"/>
  <sheetViews>
    <sheetView view="pageBreakPreview" topLeftCell="C1" zoomScale="85" zoomScaleNormal="100" zoomScaleSheetLayoutView="85" workbookViewId="0">
      <selection activeCell="R44" sqref="R44"/>
    </sheetView>
  </sheetViews>
  <sheetFormatPr defaultRowHeight="18.75"/>
  <cols>
    <col min="1" max="1" width="2.5" customWidth="1"/>
    <col min="4" max="18" width="16" customWidth="1"/>
  </cols>
  <sheetData>
    <row r="1" spans="2:20" ht="24.75" thickBot="1">
      <c r="D1" s="53">
        <v>45523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20" s="5" customFormat="1">
      <c r="B2" s="201"/>
      <c r="C2" s="202"/>
      <c r="D2" s="205">
        <f>D1</f>
        <v>45523</v>
      </c>
      <c r="E2" s="195" t="s">
        <v>3</v>
      </c>
      <c r="F2" s="191" t="s">
        <v>4</v>
      </c>
      <c r="G2" s="197">
        <f>D2+1</f>
        <v>45524</v>
      </c>
      <c r="H2" s="195" t="s">
        <v>5</v>
      </c>
      <c r="I2" s="191" t="s">
        <v>4</v>
      </c>
      <c r="J2" s="197">
        <f>G2+1</f>
        <v>45525</v>
      </c>
      <c r="K2" s="195" t="s">
        <v>6</v>
      </c>
      <c r="L2" s="191" t="s">
        <v>4</v>
      </c>
      <c r="M2" s="197">
        <f>J2+1</f>
        <v>45526</v>
      </c>
      <c r="N2" s="195" t="s">
        <v>7</v>
      </c>
      <c r="O2" s="191" t="s">
        <v>4</v>
      </c>
      <c r="P2" s="197">
        <f>M2+1</f>
        <v>45527</v>
      </c>
      <c r="Q2" s="195" t="s">
        <v>8</v>
      </c>
      <c r="R2" s="191" t="s">
        <v>4</v>
      </c>
    </row>
    <row r="3" spans="2:20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20" ht="18.75" customHeight="1">
      <c r="B4" s="303" t="s">
        <v>31</v>
      </c>
      <c r="C4" s="138" t="s">
        <v>9</v>
      </c>
      <c r="D4" s="264" t="s">
        <v>67</v>
      </c>
      <c r="E4" s="153"/>
      <c r="F4" s="6">
        <v>0.5</v>
      </c>
      <c r="G4" s="264" t="s">
        <v>67</v>
      </c>
      <c r="H4" s="153"/>
      <c r="I4" s="6">
        <v>0.5</v>
      </c>
      <c r="J4" s="264" t="s">
        <v>67</v>
      </c>
      <c r="K4" s="153"/>
      <c r="L4" s="6">
        <v>0.5</v>
      </c>
      <c r="M4" s="264" t="s">
        <v>67</v>
      </c>
      <c r="N4" s="153"/>
      <c r="O4" s="6">
        <v>0.5</v>
      </c>
      <c r="P4" s="264" t="s">
        <v>67</v>
      </c>
      <c r="Q4" s="153"/>
      <c r="R4" s="6">
        <v>0.5</v>
      </c>
      <c r="S4" s="211"/>
      <c r="T4" s="211"/>
    </row>
    <row r="5" spans="2:20" ht="18.75" customHeight="1">
      <c r="B5" s="304"/>
      <c r="C5" s="139"/>
      <c r="D5" s="157" t="s">
        <v>71</v>
      </c>
      <c r="E5" s="155"/>
      <c r="F5" s="7">
        <v>0.1</v>
      </c>
      <c r="G5" s="157" t="s">
        <v>71</v>
      </c>
      <c r="H5" s="155"/>
      <c r="I5" s="7">
        <v>0.1</v>
      </c>
      <c r="J5" s="157" t="s">
        <v>71</v>
      </c>
      <c r="K5" s="155"/>
      <c r="L5" s="7">
        <v>0.1</v>
      </c>
      <c r="M5" s="157" t="s">
        <v>71</v>
      </c>
      <c r="N5" s="155"/>
      <c r="O5" s="7">
        <v>0.1</v>
      </c>
      <c r="P5" s="157" t="s">
        <v>71</v>
      </c>
      <c r="Q5" s="155"/>
      <c r="R5" s="7">
        <v>0.1</v>
      </c>
      <c r="S5" s="211"/>
      <c r="T5" s="211"/>
    </row>
    <row r="6" spans="2:20" ht="18.75" customHeight="1">
      <c r="B6" s="304"/>
      <c r="C6" s="139"/>
      <c r="D6" s="157" t="s">
        <v>248</v>
      </c>
      <c r="E6" s="136"/>
      <c r="F6" s="7">
        <v>2.5</v>
      </c>
      <c r="G6" s="154" t="s">
        <v>251</v>
      </c>
      <c r="H6" s="155"/>
      <c r="I6" s="7">
        <v>2.5</v>
      </c>
      <c r="J6" s="154" t="s">
        <v>257</v>
      </c>
      <c r="K6" s="155"/>
      <c r="L6" s="7">
        <v>2.5</v>
      </c>
      <c r="M6" s="154" t="s">
        <v>259</v>
      </c>
      <c r="N6" s="155"/>
      <c r="O6" s="16">
        <v>1</v>
      </c>
      <c r="P6" s="154" t="s">
        <v>260</v>
      </c>
      <c r="Q6" s="155"/>
      <c r="R6" s="7">
        <v>2.5</v>
      </c>
      <c r="S6" s="212"/>
      <c r="T6" s="212"/>
    </row>
    <row r="7" spans="2:20" ht="18.75" customHeight="1">
      <c r="B7" s="304"/>
      <c r="C7" s="139"/>
      <c r="D7" s="154"/>
      <c r="E7" s="155"/>
      <c r="F7" s="7"/>
      <c r="G7" s="154"/>
      <c r="H7" s="155"/>
      <c r="I7" s="7"/>
      <c r="J7" s="154"/>
      <c r="K7" s="155"/>
      <c r="L7" s="7"/>
      <c r="M7" s="154" t="s">
        <v>260</v>
      </c>
      <c r="N7" s="155"/>
      <c r="O7" s="7">
        <v>1.5</v>
      </c>
      <c r="P7" s="157"/>
      <c r="Q7" s="136"/>
      <c r="R7" s="16"/>
      <c r="S7" s="8"/>
      <c r="T7" s="8"/>
    </row>
    <row r="8" spans="2:20" ht="19.5" customHeight="1" thickBot="1">
      <c r="B8" s="304"/>
      <c r="C8" s="140"/>
      <c r="D8" s="160"/>
      <c r="E8" s="159"/>
      <c r="F8" s="9"/>
      <c r="G8" s="160"/>
      <c r="H8" s="159"/>
      <c r="I8" s="9"/>
      <c r="J8" s="160"/>
      <c r="K8" s="159"/>
      <c r="L8" s="9"/>
      <c r="M8" s="160"/>
      <c r="N8" s="159"/>
      <c r="O8" s="9"/>
      <c r="P8" s="161"/>
      <c r="Q8" s="159"/>
      <c r="R8" s="9"/>
      <c r="S8" s="214"/>
      <c r="T8" s="214"/>
    </row>
    <row r="9" spans="2:20" ht="18.75" customHeight="1">
      <c r="B9" s="304"/>
      <c r="C9" s="138" t="s">
        <v>20</v>
      </c>
      <c r="D9" s="154" t="s">
        <v>249</v>
      </c>
      <c r="E9" s="155"/>
      <c r="F9" s="16">
        <v>1</v>
      </c>
      <c r="G9" s="154" t="s">
        <v>252</v>
      </c>
      <c r="H9" s="155"/>
      <c r="I9" s="16">
        <v>4.4000000000000004</v>
      </c>
      <c r="J9" s="154" t="s">
        <v>256</v>
      </c>
      <c r="K9" s="155"/>
      <c r="L9" s="16">
        <v>1</v>
      </c>
      <c r="M9" s="154" t="s">
        <v>260</v>
      </c>
      <c r="N9" s="155"/>
      <c r="O9" s="7">
        <v>3.2</v>
      </c>
      <c r="P9" s="154" t="s">
        <v>260</v>
      </c>
      <c r="Q9" s="155"/>
      <c r="R9" s="7">
        <v>4.4000000000000004</v>
      </c>
      <c r="S9" s="11"/>
      <c r="T9" s="11"/>
    </row>
    <row r="10" spans="2:20" ht="18.75" customHeight="1">
      <c r="B10" s="304"/>
      <c r="C10" s="139"/>
      <c r="D10" s="154" t="s">
        <v>250</v>
      </c>
      <c r="E10" s="155"/>
      <c r="F10" s="16">
        <v>3.4</v>
      </c>
      <c r="G10" s="154"/>
      <c r="H10" s="155"/>
      <c r="I10" s="7"/>
      <c r="J10" s="154" t="s">
        <v>258</v>
      </c>
      <c r="K10" s="155"/>
      <c r="L10" s="16">
        <v>3.4</v>
      </c>
      <c r="M10" s="154"/>
      <c r="N10" s="155"/>
      <c r="O10" s="7"/>
      <c r="P10" s="154"/>
      <c r="Q10" s="155"/>
      <c r="R10" s="7"/>
      <c r="S10" s="11"/>
      <c r="T10" s="11"/>
    </row>
    <row r="11" spans="2:20" ht="18.75" customHeight="1">
      <c r="B11" s="304"/>
      <c r="C11" s="139"/>
      <c r="D11" s="300"/>
      <c r="E11" s="155"/>
      <c r="F11" s="7"/>
      <c r="G11" s="154"/>
      <c r="H11" s="155"/>
      <c r="I11" s="16"/>
      <c r="J11" s="154"/>
      <c r="K11" s="155"/>
      <c r="L11" s="16"/>
      <c r="M11" s="154"/>
      <c r="N11" s="155"/>
      <c r="O11" s="16"/>
      <c r="P11" s="154"/>
      <c r="Q11" s="155"/>
      <c r="R11" s="16"/>
      <c r="S11" s="215"/>
      <c r="T11" s="215"/>
    </row>
    <row r="12" spans="2:20" ht="18.75" customHeight="1">
      <c r="B12" s="304"/>
      <c r="C12" s="139"/>
      <c r="D12" s="300"/>
      <c r="E12" s="155"/>
      <c r="F12" s="7"/>
      <c r="G12" s="154"/>
      <c r="H12" s="155"/>
      <c r="I12" s="7"/>
      <c r="J12" s="154"/>
      <c r="K12" s="155"/>
      <c r="L12" s="7"/>
      <c r="M12" s="154"/>
      <c r="N12" s="155"/>
      <c r="O12" s="7"/>
      <c r="P12" s="154"/>
      <c r="Q12" s="155"/>
      <c r="R12" s="7"/>
      <c r="S12" s="214"/>
      <c r="T12" s="214"/>
    </row>
    <row r="13" spans="2:20" ht="19.5" customHeight="1" thickBot="1">
      <c r="B13" s="304"/>
      <c r="C13" s="140"/>
      <c r="D13" s="160" t="s">
        <v>68</v>
      </c>
      <c r="E13" s="159"/>
      <c r="F13" s="9">
        <v>0.25</v>
      </c>
      <c r="G13" s="160" t="s">
        <v>68</v>
      </c>
      <c r="H13" s="159"/>
      <c r="I13" s="9">
        <v>0.25</v>
      </c>
      <c r="J13" s="160" t="s">
        <v>68</v>
      </c>
      <c r="K13" s="159"/>
      <c r="L13" s="9">
        <v>0.25</v>
      </c>
      <c r="M13" s="160" t="s">
        <v>206</v>
      </c>
      <c r="N13" s="159"/>
      <c r="O13" s="9">
        <v>1.5</v>
      </c>
      <c r="P13" s="160" t="s">
        <v>68</v>
      </c>
      <c r="Q13" s="159"/>
      <c r="R13" s="9">
        <v>0.25</v>
      </c>
      <c r="S13" s="215"/>
      <c r="T13" s="215"/>
    </row>
    <row r="14" spans="2:20" ht="19.5" thickBot="1">
      <c r="B14" s="305"/>
      <c r="C14" s="18" t="s">
        <v>76</v>
      </c>
      <c r="D14" s="17"/>
      <c r="E14" s="17"/>
      <c r="F14" s="18">
        <f>SUM(F4:F13)</f>
        <v>7.75</v>
      </c>
      <c r="G14" s="17"/>
      <c r="H14" s="17"/>
      <c r="I14" s="18">
        <f>SUM(I4:I13)</f>
        <v>7.75</v>
      </c>
      <c r="J14" s="17"/>
      <c r="K14" s="17"/>
      <c r="L14" s="18">
        <f>SUM(L4:L13)</f>
        <v>7.75</v>
      </c>
      <c r="M14" s="17"/>
      <c r="N14" s="17"/>
      <c r="O14" s="18">
        <f>SUM(O4:O13)</f>
        <v>7.8000000000000007</v>
      </c>
      <c r="P14" s="17"/>
      <c r="Q14" s="17"/>
      <c r="R14" s="18">
        <f>SUM(R4:R13)</f>
        <v>7.75</v>
      </c>
    </row>
    <row r="15" spans="2:20" ht="18.75" customHeight="1">
      <c r="B15" s="149" t="s">
        <v>32</v>
      </c>
      <c r="C15" s="138" t="s">
        <v>9</v>
      </c>
      <c r="D15" s="371" t="s">
        <v>166</v>
      </c>
      <c r="E15" s="328"/>
      <c r="F15" s="33">
        <v>0.5</v>
      </c>
      <c r="G15" s="371" t="s">
        <v>166</v>
      </c>
      <c r="H15" s="328"/>
      <c r="I15" s="33">
        <v>0.5</v>
      </c>
      <c r="J15" s="380" t="s">
        <v>166</v>
      </c>
      <c r="K15" s="328"/>
      <c r="L15" s="33">
        <v>0.5</v>
      </c>
      <c r="M15" s="371" t="s">
        <v>166</v>
      </c>
      <c r="N15" s="328"/>
      <c r="O15" s="33">
        <v>0.5</v>
      </c>
      <c r="P15" s="371" t="s">
        <v>166</v>
      </c>
      <c r="Q15" s="328"/>
      <c r="R15" s="33">
        <v>0.5</v>
      </c>
    </row>
    <row r="16" spans="2:20">
      <c r="B16" s="150"/>
      <c r="C16" s="139"/>
      <c r="D16" s="221" t="s">
        <v>229</v>
      </c>
      <c r="E16" s="222"/>
      <c r="F16" s="24">
        <v>0.5</v>
      </c>
      <c r="G16" s="221" t="s">
        <v>230</v>
      </c>
      <c r="H16" s="222"/>
      <c r="I16" s="24">
        <v>0.5</v>
      </c>
      <c r="J16" s="221" t="s">
        <v>231</v>
      </c>
      <c r="K16" s="222"/>
      <c r="L16" s="24">
        <v>0.5</v>
      </c>
      <c r="M16" s="221" t="s">
        <v>232</v>
      </c>
      <c r="N16" s="222"/>
      <c r="O16" s="24">
        <v>0.5</v>
      </c>
      <c r="P16" s="221" t="s">
        <v>233</v>
      </c>
      <c r="Q16" s="222"/>
      <c r="R16" s="24">
        <v>0.5</v>
      </c>
    </row>
    <row r="17" spans="2:18">
      <c r="B17" s="150"/>
      <c r="C17" s="139"/>
      <c r="D17" s="157" t="s">
        <v>234</v>
      </c>
      <c r="E17" s="155"/>
      <c r="F17" s="7">
        <v>2.5</v>
      </c>
      <c r="G17" s="157" t="s">
        <v>235</v>
      </c>
      <c r="H17" s="155"/>
      <c r="I17" s="7">
        <v>2.5</v>
      </c>
      <c r="J17" s="157" t="s">
        <v>236</v>
      </c>
      <c r="K17" s="155"/>
      <c r="L17" s="7">
        <v>2.5</v>
      </c>
      <c r="M17" s="157" t="s">
        <v>237</v>
      </c>
      <c r="N17" s="155"/>
      <c r="O17" s="7">
        <v>2.25</v>
      </c>
      <c r="P17" s="157" t="s">
        <v>238</v>
      </c>
      <c r="Q17" s="155"/>
      <c r="R17" s="7">
        <v>2.5</v>
      </c>
    </row>
    <row r="18" spans="2:18">
      <c r="B18" s="150"/>
      <c r="C18" s="139"/>
      <c r="D18" s="157"/>
      <c r="E18" s="155"/>
      <c r="F18" s="7"/>
      <c r="G18" s="157"/>
      <c r="H18" s="155"/>
      <c r="I18" s="7"/>
      <c r="J18" s="157"/>
      <c r="K18" s="155"/>
      <c r="L18" s="7"/>
      <c r="M18" s="157"/>
      <c r="N18" s="155"/>
      <c r="O18" s="7"/>
      <c r="P18" s="157"/>
      <c r="Q18" s="155"/>
      <c r="R18" s="7"/>
    </row>
    <row r="19" spans="2:18" ht="19.5" thickBot="1">
      <c r="B19" s="150"/>
      <c r="C19" s="140"/>
      <c r="D19" s="340"/>
      <c r="E19" s="218"/>
      <c r="F19" s="9"/>
      <c r="G19" s="340"/>
      <c r="H19" s="218"/>
      <c r="I19" s="9"/>
      <c r="J19" s="340"/>
      <c r="K19" s="218"/>
      <c r="L19" s="9"/>
      <c r="M19" s="378" t="s">
        <v>239</v>
      </c>
      <c r="N19" s="379"/>
      <c r="O19" s="35">
        <v>0.25</v>
      </c>
      <c r="P19" s="369"/>
      <c r="Q19" s="370"/>
      <c r="R19" s="35"/>
    </row>
    <row r="20" spans="2:18" ht="18.75" customHeight="1">
      <c r="B20" s="150"/>
      <c r="C20" s="138" t="s">
        <v>20</v>
      </c>
      <c r="D20" s="157" t="s">
        <v>240</v>
      </c>
      <c r="E20" s="155"/>
      <c r="F20" s="43">
        <v>3</v>
      </c>
      <c r="G20" s="157" t="s">
        <v>241</v>
      </c>
      <c r="H20" s="155"/>
      <c r="I20" s="43">
        <v>3</v>
      </c>
      <c r="J20" s="157" t="s">
        <v>242</v>
      </c>
      <c r="K20" s="155"/>
      <c r="L20" s="43">
        <v>2.5</v>
      </c>
      <c r="M20" s="157" t="s">
        <v>243</v>
      </c>
      <c r="N20" s="155"/>
      <c r="O20" s="43">
        <v>3</v>
      </c>
      <c r="P20" s="157" t="s">
        <v>238</v>
      </c>
      <c r="Q20" s="155"/>
      <c r="R20" s="43">
        <v>3</v>
      </c>
    </row>
    <row r="21" spans="2:18" ht="18.75" customHeight="1">
      <c r="B21" s="150"/>
      <c r="C21" s="139"/>
      <c r="D21" s="154" t="s">
        <v>244</v>
      </c>
      <c r="E21" s="155"/>
      <c r="F21" s="7">
        <v>0.5</v>
      </c>
      <c r="G21" s="154" t="s">
        <v>244</v>
      </c>
      <c r="H21" s="155"/>
      <c r="I21" s="7">
        <v>0.5</v>
      </c>
      <c r="J21" s="154" t="s">
        <v>244</v>
      </c>
      <c r="K21" s="155"/>
      <c r="L21" s="7">
        <v>0.5</v>
      </c>
      <c r="M21" s="154" t="s">
        <v>244</v>
      </c>
      <c r="N21" s="155"/>
      <c r="O21" s="7">
        <v>0.5</v>
      </c>
      <c r="P21" s="154" t="s">
        <v>244</v>
      </c>
      <c r="Q21" s="155"/>
      <c r="R21" s="7">
        <v>0.5</v>
      </c>
    </row>
    <row r="22" spans="2:18" ht="18.75" customHeight="1">
      <c r="B22" s="150"/>
      <c r="C22" s="139"/>
      <c r="D22" s="157" t="s">
        <v>180</v>
      </c>
      <c r="E22" s="155"/>
      <c r="F22" s="7" t="s">
        <v>38</v>
      </c>
      <c r="G22" s="157" t="s">
        <v>180</v>
      </c>
      <c r="H22" s="155"/>
      <c r="I22" s="7" t="s">
        <v>38</v>
      </c>
      <c r="J22" s="154"/>
      <c r="K22" s="155"/>
      <c r="L22" s="7"/>
      <c r="M22" s="157"/>
      <c r="N22" s="155"/>
      <c r="O22" s="7"/>
      <c r="P22" s="157"/>
      <c r="Q22" s="155"/>
      <c r="R22" s="7"/>
    </row>
    <row r="23" spans="2:18" ht="18.75" customHeight="1">
      <c r="B23" s="150"/>
      <c r="C23" s="139"/>
      <c r="D23" s="154"/>
      <c r="E23" s="155"/>
      <c r="F23" s="7"/>
      <c r="G23" s="154"/>
      <c r="H23" s="155"/>
      <c r="I23" s="7"/>
      <c r="J23" s="311" t="s">
        <v>245</v>
      </c>
      <c r="K23" s="222"/>
      <c r="L23" s="36">
        <v>0.5</v>
      </c>
      <c r="M23" s="311"/>
      <c r="N23" s="222"/>
      <c r="O23" s="24"/>
      <c r="P23" s="154"/>
      <c r="Q23" s="155"/>
      <c r="R23" s="7"/>
    </row>
    <row r="24" spans="2:18" ht="19.5" customHeight="1" thickBot="1">
      <c r="B24" s="150"/>
      <c r="C24" s="140"/>
      <c r="D24" s="369" t="s">
        <v>174</v>
      </c>
      <c r="E24" s="370"/>
      <c r="F24" s="35">
        <v>0.75</v>
      </c>
      <c r="G24" s="369" t="s">
        <v>174</v>
      </c>
      <c r="H24" s="370"/>
      <c r="I24" s="35">
        <v>0.75</v>
      </c>
      <c r="J24" s="369" t="s">
        <v>174</v>
      </c>
      <c r="K24" s="370"/>
      <c r="L24" s="35">
        <v>0.75</v>
      </c>
      <c r="M24" s="369" t="s">
        <v>174</v>
      </c>
      <c r="N24" s="370"/>
      <c r="O24" s="35">
        <v>0.75</v>
      </c>
      <c r="P24" s="369" t="s">
        <v>174</v>
      </c>
      <c r="Q24" s="370"/>
      <c r="R24" s="35">
        <v>0.75</v>
      </c>
    </row>
    <row r="25" spans="2:18" ht="19.5" thickBot="1">
      <c r="B25" s="151"/>
      <c r="C25" s="18" t="s">
        <v>76</v>
      </c>
      <c r="D25" s="17"/>
      <c r="E25" s="17"/>
      <c r="F25" s="18">
        <f>SUM(F15:F24)</f>
        <v>7.75</v>
      </c>
      <c r="G25" s="17"/>
      <c r="H25" s="17"/>
      <c r="I25" s="18">
        <f>SUM(I15:I24)</f>
        <v>7.75</v>
      </c>
      <c r="J25" s="17"/>
      <c r="K25" s="17"/>
      <c r="L25" s="18">
        <f>SUM(L15:L24)</f>
        <v>7.75</v>
      </c>
      <c r="M25" s="17"/>
      <c r="N25" s="17"/>
      <c r="O25" s="18">
        <f>SUM(O15:O24)</f>
        <v>7.75</v>
      </c>
      <c r="P25" s="17"/>
      <c r="Q25" s="17"/>
      <c r="R25" s="18">
        <f>SUM(R15:R24)</f>
        <v>7.75</v>
      </c>
    </row>
    <row r="26" spans="2:18" ht="18.75" customHeight="1">
      <c r="B26" s="149" t="s">
        <v>65</v>
      </c>
      <c r="C26" s="138" t="s">
        <v>9</v>
      </c>
      <c r="D26" s="156" t="s">
        <v>39</v>
      </c>
      <c r="E26" s="153"/>
      <c r="F26" s="7">
        <v>3</v>
      </c>
      <c r="G26" s="157" t="s">
        <v>217</v>
      </c>
      <c r="H26" s="155"/>
      <c r="I26" s="7">
        <v>6</v>
      </c>
      <c r="J26" s="157" t="s">
        <v>218</v>
      </c>
      <c r="K26" s="155"/>
      <c r="L26" s="7">
        <v>6</v>
      </c>
      <c r="M26" s="154" t="s">
        <v>35</v>
      </c>
      <c r="N26" s="155"/>
      <c r="O26" s="6" t="s">
        <v>36</v>
      </c>
      <c r="P26" s="156" t="s">
        <v>37</v>
      </c>
      <c r="Q26" s="153"/>
      <c r="R26" s="6">
        <v>0.5</v>
      </c>
    </row>
    <row r="27" spans="2:18">
      <c r="B27" s="150"/>
      <c r="C27" s="139"/>
      <c r="D27" s="157" t="s">
        <v>219</v>
      </c>
      <c r="E27" s="155"/>
      <c r="F27" s="7">
        <v>1.5</v>
      </c>
      <c r="G27" s="154" t="s">
        <v>220</v>
      </c>
      <c r="H27" s="155"/>
      <c r="I27" s="7" t="s">
        <v>36</v>
      </c>
      <c r="J27" s="154" t="s">
        <v>221</v>
      </c>
      <c r="K27" s="155"/>
      <c r="L27" s="7" t="s">
        <v>36</v>
      </c>
      <c r="M27" s="154" t="s">
        <v>45</v>
      </c>
      <c r="N27" s="155"/>
      <c r="O27" s="7">
        <v>1</v>
      </c>
      <c r="P27" s="154" t="s">
        <v>186</v>
      </c>
      <c r="Q27" s="155"/>
      <c r="R27" s="7">
        <v>6</v>
      </c>
    </row>
    <row r="28" spans="2:18">
      <c r="B28" s="150"/>
      <c r="C28" s="139"/>
      <c r="D28" s="157"/>
      <c r="E28" s="155"/>
      <c r="F28" s="7"/>
      <c r="G28" s="154" t="s">
        <v>222</v>
      </c>
      <c r="H28" s="155"/>
      <c r="I28" s="7" t="s">
        <v>36</v>
      </c>
      <c r="J28" s="154" t="s">
        <v>223</v>
      </c>
      <c r="K28" s="155"/>
      <c r="L28" s="7" t="s">
        <v>36</v>
      </c>
      <c r="M28" s="311" t="s">
        <v>48</v>
      </c>
      <c r="N28" s="222"/>
      <c r="O28" s="24">
        <v>0.5</v>
      </c>
      <c r="P28" s="246"/>
      <c r="Q28" s="247"/>
      <c r="R28" s="54"/>
    </row>
    <row r="29" spans="2:18">
      <c r="B29" s="150"/>
      <c r="C29" s="139"/>
      <c r="D29" s="157"/>
      <c r="E29" s="155"/>
      <c r="F29" s="7"/>
      <c r="G29" s="154" t="s">
        <v>45</v>
      </c>
      <c r="H29" s="155"/>
      <c r="I29" s="7" t="s">
        <v>36</v>
      </c>
      <c r="J29" s="216" t="s">
        <v>45</v>
      </c>
      <c r="K29" s="163"/>
      <c r="L29" s="44" t="s">
        <v>36</v>
      </c>
      <c r="M29" s="311" t="s">
        <v>224</v>
      </c>
      <c r="N29" s="222"/>
      <c r="O29" s="24">
        <v>2</v>
      </c>
      <c r="P29" s="246"/>
      <c r="Q29" s="247"/>
      <c r="R29" s="55"/>
    </row>
    <row r="30" spans="2:18" ht="19.5" thickBot="1">
      <c r="B30" s="150"/>
      <c r="C30" s="140"/>
      <c r="D30" s="158"/>
      <c r="E30" s="159"/>
      <c r="F30" s="9"/>
      <c r="G30" s="329"/>
      <c r="H30" s="287"/>
      <c r="I30" s="45"/>
      <c r="J30" s="329"/>
      <c r="K30" s="287"/>
      <c r="L30" s="45"/>
      <c r="M30" s="161"/>
      <c r="N30" s="159"/>
      <c r="O30" s="9"/>
      <c r="P30" s="161" t="s">
        <v>45</v>
      </c>
      <c r="Q30" s="159"/>
      <c r="R30" s="9" t="s">
        <v>36</v>
      </c>
    </row>
    <row r="31" spans="2:18">
      <c r="B31" s="150"/>
      <c r="C31" s="138" t="s">
        <v>20</v>
      </c>
      <c r="D31" s="152"/>
      <c r="E31" s="153"/>
      <c r="F31" s="6"/>
      <c r="G31" s="311" t="s">
        <v>54</v>
      </c>
      <c r="H31" s="222"/>
      <c r="I31" s="7" t="s">
        <v>36</v>
      </c>
      <c r="J31" s="311" t="s">
        <v>54</v>
      </c>
      <c r="K31" s="222"/>
      <c r="L31" s="7" t="s">
        <v>36</v>
      </c>
      <c r="M31" s="154" t="s">
        <v>225</v>
      </c>
      <c r="N31" s="155"/>
      <c r="O31" s="7">
        <v>1</v>
      </c>
      <c r="P31" s="311" t="s">
        <v>54</v>
      </c>
      <c r="Q31" s="222"/>
      <c r="R31" s="7" t="s">
        <v>36</v>
      </c>
    </row>
    <row r="32" spans="2:18">
      <c r="B32" s="150"/>
      <c r="C32" s="139"/>
      <c r="D32" s="221" t="s">
        <v>226</v>
      </c>
      <c r="E32" s="222"/>
      <c r="F32" s="24">
        <v>1.5</v>
      </c>
      <c r="G32" s="154" t="s">
        <v>59</v>
      </c>
      <c r="H32" s="155"/>
      <c r="I32" s="7" t="s">
        <v>102</v>
      </c>
      <c r="J32" s="154" t="s">
        <v>59</v>
      </c>
      <c r="K32" s="155"/>
      <c r="L32" s="7" t="s">
        <v>102</v>
      </c>
      <c r="M32" s="154" t="s">
        <v>227</v>
      </c>
      <c r="N32" s="155"/>
      <c r="O32" s="7">
        <v>1.5</v>
      </c>
      <c r="P32" s="154" t="s">
        <v>59</v>
      </c>
      <c r="Q32" s="155"/>
      <c r="R32" s="7" t="s">
        <v>102</v>
      </c>
    </row>
    <row r="33" spans="2:18">
      <c r="B33" s="150"/>
      <c r="C33" s="139"/>
      <c r="D33" s="157" t="s">
        <v>121</v>
      </c>
      <c r="E33" s="155"/>
      <c r="F33" s="7">
        <v>0.5</v>
      </c>
      <c r="G33" s="154" t="s">
        <v>48</v>
      </c>
      <c r="H33" s="155"/>
      <c r="I33" s="7">
        <v>0.5</v>
      </c>
      <c r="J33" s="154" t="s">
        <v>48</v>
      </c>
      <c r="K33" s="155"/>
      <c r="L33" s="7">
        <v>1</v>
      </c>
      <c r="M33" s="154" t="s">
        <v>228</v>
      </c>
      <c r="N33" s="155"/>
      <c r="O33" s="7">
        <v>0.5</v>
      </c>
      <c r="P33" s="154" t="s">
        <v>48</v>
      </c>
      <c r="Q33" s="155"/>
      <c r="R33" s="7" t="s">
        <v>102</v>
      </c>
    </row>
    <row r="34" spans="2:18">
      <c r="B34" s="150"/>
      <c r="C34" s="139"/>
      <c r="D34" s="157" t="s">
        <v>122</v>
      </c>
      <c r="E34" s="155"/>
      <c r="F34" s="7" t="s">
        <v>36</v>
      </c>
      <c r="G34" s="311"/>
      <c r="H34" s="222"/>
      <c r="I34" s="24"/>
      <c r="J34" s="154"/>
      <c r="K34" s="155"/>
      <c r="L34" s="7"/>
      <c r="M34" s="154"/>
      <c r="N34" s="155"/>
      <c r="O34" s="7"/>
      <c r="P34" s="154" t="s">
        <v>64</v>
      </c>
      <c r="Q34" s="155"/>
      <c r="R34" s="7">
        <v>0.5</v>
      </c>
    </row>
    <row r="35" spans="2:18" ht="19.5" thickBot="1">
      <c r="B35" s="150"/>
      <c r="C35" s="140"/>
      <c r="D35" s="161"/>
      <c r="E35" s="159"/>
      <c r="F35" s="9"/>
      <c r="G35" s="161"/>
      <c r="H35" s="159"/>
      <c r="I35" s="9"/>
      <c r="J35" s="161"/>
      <c r="K35" s="159"/>
      <c r="L35" s="9"/>
      <c r="M35" s="161"/>
      <c r="N35" s="159"/>
      <c r="O35" s="9"/>
      <c r="P35" s="161"/>
      <c r="Q35" s="159"/>
      <c r="R35" s="9"/>
    </row>
    <row r="36" spans="2:18" ht="19.5" thickBot="1">
      <c r="B36" s="151"/>
      <c r="C36" s="18" t="s">
        <v>76</v>
      </c>
      <c r="D36" s="17"/>
      <c r="E36" s="17"/>
      <c r="F36" s="18">
        <f>SUM(F26:F35)</f>
        <v>6.5</v>
      </c>
      <c r="G36" s="17"/>
      <c r="H36" s="17"/>
      <c r="I36" s="18">
        <f>SUM(I26:I35)</f>
        <v>6.5</v>
      </c>
      <c r="J36" s="17"/>
      <c r="K36" s="17"/>
      <c r="L36" s="18">
        <f>SUM(L26:L35)</f>
        <v>7</v>
      </c>
      <c r="M36" s="17"/>
      <c r="N36" s="17"/>
      <c r="O36" s="18">
        <f>SUM(O26:O35)</f>
        <v>6.5</v>
      </c>
      <c r="P36" s="17"/>
      <c r="Q36" s="17"/>
      <c r="R36" s="18">
        <f>SUM(R26:R35)</f>
        <v>7</v>
      </c>
    </row>
    <row r="37" spans="2:18">
      <c r="B37" s="149" t="s">
        <v>146</v>
      </c>
      <c r="C37" s="138" t="s">
        <v>9</v>
      </c>
      <c r="D37" s="364" t="s">
        <v>67</v>
      </c>
      <c r="E37" s="365"/>
      <c r="F37" s="52">
        <v>0.5</v>
      </c>
      <c r="G37" s="264" t="s">
        <v>67</v>
      </c>
      <c r="H37" s="153"/>
      <c r="I37" s="6">
        <v>0.5</v>
      </c>
      <c r="J37" s="264" t="s">
        <v>67</v>
      </c>
      <c r="K37" s="153"/>
      <c r="L37" s="6">
        <v>0.5</v>
      </c>
      <c r="M37" s="156" t="s">
        <v>67</v>
      </c>
      <c r="N37" s="153"/>
      <c r="O37" s="6">
        <v>0.5</v>
      </c>
      <c r="P37" s="264" t="s">
        <v>67</v>
      </c>
      <c r="Q37" s="153"/>
      <c r="R37" s="6">
        <v>0.5</v>
      </c>
    </row>
    <row r="38" spans="2:18">
      <c r="B38" s="150"/>
      <c r="C38" s="139"/>
      <c r="D38" s="154" t="s">
        <v>33</v>
      </c>
      <c r="E38" s="155"/>
      <c r="F38" s="7">
        <v>0.5</v>
      </c>
      <c r="G38" s="154" t="s">
        <v>253</v>
      </c>
      <c r="H38" s="155"/>
      <c r="I38" s="16">
        <v>2.5</v>
      </c>
      <c r="J38" s="154" t="s">
        <v>254</v>
      </c>
      <c r="K38" s="155"/>
      <c r="L38" s="16">
        <v>2.5</v>
      </c>
      <c r="M38" s="154" t="s">
        <v>254</v>
      </c>
      <c r="N38" s="155"/>
      <c r="O38" s="16">
        <v>2.5</v>
      </c>
      <c r="P38" s="372" t="s">
        <v>255</v>
      </c>
      <c r="Q38" s="373"/>
      <c r="R38" s="366">
        <v>6.75</v>
      </c>
    </row>
    <row r="39" spans="2:18">
      <c r="B39" s="150"/>
      <c r="C39" s="139"/>
      <c r="D39" s="154" t="s">
        <v>253</v>
      </c>
      <c r="E39" s="155"/>
      <c r="F39" s="16">
        <v>2</v>
      </c>
      <c r="G39" s="157"/>
      <c r="H39" s="155"/>
      <c r="I39" s="7"/>
      <c r="J39" s="157"/>
      <c r="K39" s="155"/>
      <c r="L39" s="7"/>
      <c r="M39" s="157"/>
      <c r="N39" s="155"/>
      <c r="O39" s="7"/>
      <c r="P39" s="374"/>
      <c r="Q39" s="375"/>
      <c r="R39" s="367"/>
    </row>
    <row r="40" spans="2:18">
      <c r="B40" s="150"/>
      <c r="C40" s="139"/>
      <c r="D40" s="300"/>
      <c r="E40" s="155"/>
      <c r="F40" s="7"/>
      <c r="G40" s="154"/>
      <c r="H40" s="155"/>
      <c r="I40" s="7"/>
      <c r="J40" s="154"/>
      <c r="K40" s="155"/>
      <c r="L40" s="7"/>
      <c r="M40" s="154"/>
      <c r="N40" s="155"/>
      <c r="O40" s="7"/>
      <c r="P40" s="374"/>
      <c r="Q40" s="375"/>
      <c r="R40" s="367"/>
    </row>
    <row r="41" spans="2:18" ht="19.5" thickBot="1">
      <c r="B41" s="150"/>
      <c r="C41" s="140"/>
      <c r="D41" s="160"/>
      <c r="E41" s="159"/>
      <c r="F41" s="9"/>
      <c r="G41" s="161"/>
      <c r="H41" s="159"/>
      <c r="I41" s="9"/>
      <c r="J41" s="217"/>
      <c r="K41" s="218"/>
      <c r="L41" s="34"/>
      <c r="M41" s="217"/>
      <c r="N41" s="218"/>
      <c r="O41" s="9"/>
      <c r="P41" s="374"/>
      <c r="Q41" s="375"/>
      <c r="R41" s="367"/>
    </row>
    <row r="42" spans="2:18">
      <c r="B42" s="150"/>
      <c r="C42" s="138" t="s">
        <v>20</v>
      </c>
      <c r="D42" s="154" t="s">
        <v>253</v>
      </c>
      <c r="E42" s="155"/>
      <c r="F42" s="16">
        <v>4.25</v>
      </c>
      <c r="G42" s="154" t="s">
        <v>253</v>
      </c>
      <c r="H42" s="155"/>
      <c r="I42" s="16">
        <v>4.25</v>
      </c>
      <c r="J42" s="154" t="s">
        <v>254</v>
      </c>
      <c r="K42" s="155"/>
      <c r="L42" s="16">
        <v>4.25</v>
      </c>
      <c r="M42" s="154" t="s">
        <v>254</v>
      </c>
      <c r="N42" s="155"/>
      <c r="O42" s="16">
        <v>3.75</v>
      </c>
      <c r="P42" s="374"/>
      <c r="Q42" s="375"/>
      <c r="R42" s="367"/>
    </row>
    <row r="43" spans="2:18">
      <c r="B43" s="150"/>
      <c r="C43" s="139"/>
      <c r="D43" s="154"/>
      <c r="E43" s="155"/>
      <c r="F43" s="7"/>
      <c r="G43" s="157"/>
      <c r="H43" s="155"/>
      <c r="I43" s="7"/>
      <c r="J43" s="157"/>
      <c r="K43" s="155"/>
      <c r="L43" s="7"/>
      <c r="M43" s="154" t="s">
        <v>63</v>
      </c>
      <c r="N43" s="155"/>
      <c r="O43" s="7">
        <v>0.5</v>
      </c>
      <c r="P43" s="374"/>
      <c r="Q43" s="375"/>
      <c r="R43" s="367"/>
    </row>
    <row r="44" spans="2:18">
      <c r="B44" s="150"/>
      <c r="C44" s="139"/>
      <c r="D44" s="157"/>
      <c r="E44" s="155"/>
      <c r="F44" s="7"/>
      <c r="G44" s="154"/>
      <c r="H44" s="155"/>
      <c r="I44" s="7"/>
      <c r="J44" s="154"/>
      <c r="K44" s="155"/>
      <c r="L44" s="7"/>
      <c r="M44" s="157"/>
      <c r="N44" s="155"/>
      <c r="O44" s="16"/>
      <c r="P44" s="374"/>
      <c r="Q44" s="375"/>
      <c r="R44" s="367"/>
    </row>
    <row r="45" spans="2:18">
      <c r="B45" s="150"/>
      <c r="C45" s="139"/>
      <c r="D45" s="157"/>
      <c r="E45" s="155"/>
      <c r="F45" s="7"/>
      <c r="G45" s="154"/>
      <c r="H45" s="155"/>
      <c r="I45" s="7"/>
      <c r="J45" s="157"/>
      <c r="K45" s="155"/>
      <c r="L45" s="36"/>
      <c r="M45" s="157"/>
      <c r="N45" s="155"/>
      <c r="O45" s="7"/>
      <c r="P45" s="376"/>
      <c r="Q45" s="377"/>
      <c r="R45" s="368"/>
    </row>
    <row r="46" spans="2:18" ht="19.5" thickBot="1">
      <c r="B46" s="150"/>
      <c r="C46" s="140"/>
      <c r="D46" s="329" t="s">
        <v>200</v>
      </c>
      <c r="E46" s="287"/>
      <c r="F46" s="45">
        <v>0.5</v>
      </c>
      <c r="G46" s="329" t="s">
        <v>200</v>
      </c>
      <c r="H46" s="287"/>
      <c r="I46" s="45">
        <v>0.5</v>
      </c>
      <c r="J46" s="329" t="s">
        <v>200</v>
      </c>
      <c r="K46" s="287"/>
      <c r="L46" s="45">
        <v>0.5</v>
      </c>
      <c r="M46" s="329" t="s">
        <v>200</v>
      </c>
      <c r="N46" s="287"/>
      <c r="O46" s="45">
        <v>0.5</v>
      </c>
      <c r="P46" s="329" t="s">
        <v>200</v>
      </c>
      <c r="Q46" s="287"/>
      <c r="R46" s="45">
        <v>0.5</v>
      </c>
    </row>
    <row r="47" spans="2:18" ht="19.5" thickBot="1">
      <c r="B47" s="151"/>
      <c r="C47" s="18" t="s">
        <v>76</v>
      </c>
      <c r="D47" s="17"/>
      <c r="E47" s="17"/>
      <c r="F47" s="18">
        <f>SUM(F37:F46)</f>
        <v>7.75</v>
      </c>
      <c r="G47" s="17"/>
      <c r="H47" s="17"/>
      <c r="I47" s="18">
        <f>SUM(I37:I46)</f>
        <v>7.75</v>
      </c>
      <c r="J47" s="17"/>
      <c r="K47" s="17"/>
      <c r="L47" s="18">
        <f>SUM(L37:L46)</f>
        <v>7.75</v>
      </c>
      <c r="M47" s="17"/>
      <c r="N47" s="17"/>
      <c r="O47" s="18">
        <f>SUM(O37:O46)</f>
        <v>7.75</v>
      </c>
      <c r="P47" s="17"/>
      <c r="Q47" s="17"/>
      <c r="R47" s="18">
        <f>SUM(R37:R46)</f>
        <v>7.75</v>
      </c>
    </row>
    <row r="49" spans="2:6">
      <c r="B49" s="294" t="s">
        <v>182</v>
      </c>
      <c r="C49" s="295"/>
      <c r="D49" s="49" t="s">
        <v>183</v>
      </c>
      <c r="E49" s="296" t="s">
        <v>184</v>
      </c>
      <c r="F49" s="296"/>
    </row>
  </sheetData>
  <mergeCells count="233">
    <mergeCell ref="G1:M1"/>
    <mergeCell ref="P1:Q1"/>
    <mergeCell ref="B2:C3"/>
    <mergeCell ref="D2:D3"/>
    <mergeCell ref="E2:E3"/>
    <mergeCell ref="F2:F3"/>
    <mergeCell ref="G2:G3"/>
    <mergeCell ref="H2:H3"/>
    <mergeCell ref="I2:I3"/>
    <mergeCell ref="J2:J3"/>
    <mergeCell ref="S4:T4"/>
    <mergeCell ref="D5:E5"/>
    <mergeCell ref="J5:K5"/>
    <mergeCell ref="M5:N5"/>
    <mergeCell ref="P5:Q5"/>
    <mergeCell ref="S5:T5"/>
    <mergeCell ref="G4:H4"/>
    <mergeCell ref="G5:H5"/>
    <mergeCell ref="Q2:Q3"/>
    <mergeCell ref="R2:R3"/>
    <mergeCell ref="D4:E4"/>
    <mergeCell ref="J4:K4"/>
    <mergeCell ref="M4:N4"/>
    <mergeCell ref="P4:Q4"/>
    <mergeCell ref="K2:K3"/>
    <mergeCell ref="L2:L3"/>
    <mergeCell ref="M2:M3"/>
    <mergeCell ref="N2:N3"/>
    <mergeCell ref="O2:O3"/>
    <mergeCell ref="P2:P3"/>
    <mergeCell ref="S8:T8"/>
    <mergeCell ref="C9:C13"/>
    <mergeCell ref="D9:E9"/>
    <mergeCell ref="J9:K9"/>
    <mergeCell ref="M9:N9"/>
    <mergeCell ref="P9:Q9"/>
    <mergeCell ref="J6:K6"/>
    <mergeCell ref="M6:N6"/>
    <mergeCell ref="P6:Q6"/>
    <mergeCell ref="S6:T6"/>
    <mergeCell ref="D7:E7"/>
    <mergeCell ref="J7:K7"/>
    <mergeCell ref="M7:N7"/>
    <mergeCell ref="P7:Q7"/>
    <mergeCell ref="G6:H6"/>
    <mergeCell ref="G7:H7"/>
    <mergeCell ref="C4:C8"/>
    <mergeCell ref="D6:E6"/>
    <mergeCell ref="D10:E10"/>
    <mergeCell ref="J10:K10"/>
    <mergeCell ref="M10:N10"/>
    <mergeCell ref="P10:Q10"/>
    <mergeCell ref="D11:E11"/>
    <mergeCell ref="J11:K11"/>
    <mergeCell ref="M11:N11"/>
    <mergeCell ref="P11:Q11"/>
    <mergeCell ref="D8:E8"/>
    <mergeCell ref="J8:K8"/>
    <mergeCell ref="M8:N8"/>
    <mergeCell ref="P8:Q8"/>
    <mergeCell ref="S13:T13"/>
    <mergeCell ref="B15:B25"/>
    <mergeCell ref="C15:C19"/>
    <mergeCell ref="D15:E15"/>
    <mergeCell ref="G15:H15"/>
    <mergeCell ref="J15:K15"/>
    <mergeCell ref="S11:T11"/>
    <mergeCell ref="D12:E12"/>
    <mergeCell ref="J12:K12"/>
    <mergeCell ref="M12:N12"/>
    <mergeCell ref="P12:Q12"/>
    <mergeCell ref="S12:T12"/>
    <mergeCell ref="B4:B14"/>
    <mergeCell ref="D16:E16"/>
    <mergeCell ref="G16:H16"/>
    <mergeCell ref="J16:K16"/>
    <mergeCell ref="M16:N16"/>
    <mergeCell ref="P16:Q16"/>
    <mergeCell ref="D13:E13"/>
    <mergeCell ref="J13:K13"/>
    <mergeCell ref="M13:N13"/>
    <mergeCell ref="P13:Q13"/>
    <mergeCell ref="D17:E17"/>
    <mergeCell ref="G17:H17"/>
    <mergeCell ref="J17:K17"/>
    <mergeCell ref="M17:N17"/>
    <mergeCell ref="P17:Q17"/>
    <mergeCell ref="D18:E18"/>
    <mergeCell ref="G18:H18"/>
    <mergeCell ref="J18:K18"/>
    <mergeCell ref="M18:N18"/>
    <mergeCell ref="P18:Q18"/>
    <mergeCell ref="D19:E19"/>
    <mergeCell ref="G19:H19"/>
    <mergeCell ref="J19:K19"/>
    <mergeCell ref="M19:N19"/>
    <mergeCell ref="P19:Q19"/>
    <mergeCell ref="C20:C24"/>
    <mergeCell ref="D20:E20"/>
    <mergeCell ref="G20:H20"/>
    <mergeCell ref="J20:K20"/>
    <mergeCell ref="M20:N20"/>
    <mergeCell ref="D24:E24"/>
    <mergeCell ref="G24:H24"/>
    <mergeCell ref="J24:K24"/>
    <mergeCell ref="M24:N24"/>
    <mergeCell ref="D21:E21"/>
    <mergeCell ref="G21:H21"/>
    <mergeCell ref="J21:K21"/>
    <mergeCell ref="M21:N21"/>
    <mergeCell ref="D22:E22"/>
    <mergeCell ref="G22:H22"/>
    <mergeCell ref="J22:K22"/>
    <mergeCell ref="M22:N22"/>
    <mergeCell ref="D23:E23"/>
    <mergeCell ref="P26:Q26"/>
    <mergeCell ref="D27:E27"/>
    <mergeCell ref="G26:H26"/>
    <mergeCell ref="J26:K26"/>
    <mergeCell ref="M27:N27"/>
    <mergeCell ref="P27:Q27"/>
    <mergeCell ref="B26:B36"/>
    <mergeCell ref="C26:C30"/>
    <mergeCell ref="D26:E26"/>
    <mergeCell ref="G30:H30"/>
    <mergeCell ref="J30:K30"/>
    <mergeCell ref="M26:N26"/>
    <mergeCell ref="D28:E28"/>
    <mergeCell ref="G27:H27"/>
    <mergeCell ref="J27:K27"/>
    <mergeCell ref="M28:N28"/>
    <mergeCell ref="C31:C35"/>
    <mergeCell ref="D31:E31"/>
    <mergeCell ref="G31:H31"/>
    <mergeCell ref="J31:K31"/>
    <mergeCell ref="M31:N31"/>
    <mergeCell ref="P28:Q28"/>
    <mergeCell ref="D29:E29"/>
    <mergeCell ref="G28:H28"/>
    <mergeCell ref="P29:Q29"/>
    <mergeCell ref="P31:Q31"/>
    <mergeCell ref="D32:E32"/>
    <mergeCell ref="G32:H32"/>
    <mergeCell ref="J32:K32"/>
    <mergeCell ref="M32:N32"/>
    <mergeCell ref="P32:Q32"/>
    <mergeCell ref="D30:E30"/>
    <mergeCell ref="G29:H29"/>
    <mergeCell ref="J29:K29"/>
    <mergeCell ref="M30:N30"/>
    <mergeCell ref="P30:Q30"/>
    <mergeCell ref="D33:E33"/>
    <mergeCell ref="G33:H33"/>
    <mergeCell ref="J33:K33"/>
    <mergeCell ref="M33:N33"/>
    <mergeCell ref="P33:Q33"/>
    <mergeCell ref="D34:E34"/>
    <mergeCell ref="G34:H34"/>
    <mergeCell ref="J34:K34"/>
    <mergeCell ref="M34:N34"/>
    <mergeCell ref="P34:Q34"/>
    <mergeCell ref="D38:E38"/>
    <mergeCell ref="G38:H38"/>
    <mergeCell ref="J38:K38"/>
    <mergeCell ref="M38:N38"/>
    <mergeCell ref="D35:E35"/>
    <mergeCell ref="G35:H35"/>
    <mergeCell ref="J35:K35"/>
    <mergeCell ref="M35:N35"/>
    <mergeCell ref="P35:Q35"/>
    <mergeCell ref="D37:E37"/>
    <mergeCell ref="G37:H37"/>
    <mergeCell ref="J37:K37"/>
    <mergeCell ref="D42:E42"/>
    <mergeCell ref="G42:H42"/>
    <mergeCell ref="J42:K42"/>
    <mergeCell ref="M42:N42"/>
    <mergeCell ref="D39:E39"/>
    <mergeCell ref="G39:H39"/>
    <mergeCell ref="J39:K39"/>
    <mergeCell ref="M39:N39"/>
    <mergeCell ref="D40:E40"/>
    <mergeCell ref="G40:H40"/>
    <mergeCell ref="J40:K40"/>
    <mergeCell ref="M40:N40"/>
    <mergeCell ref="D46:E46"/>
    <mergeCell ref="G46:H46"/>
    <mergeCell ref="J46:K46"/>
    <mergeCell ref="M46:N46"/>
    <mergeCell ref="P46:Q46"/>
    <mergeCell ref="B49:C49"/>
    <mergeCell ref="E49:F49"/>
    <mergeCell ref="D44:E44"/>
    <mergeCell ref="G44:H44"/>
    <mergeCell ref="J44:K44"/>
    <mergeCell ref="M44:N44"/>
    <mergeCell ref="D45:E45"/>
    <mergeCell ref="G45:H45"/>
    <mergeCell ref="J45:K45"/>
    <mergeCell ref="M45:N45"/>
    <mergeCell ref="C42:C46"/>
    <mergeCell ref="B37:B47"/>
    <mergeCell ref="C37:C41"/>
    <mergeCell ref="P38:Q45"/>
    <mergeCell ref="D43:E43"/>
    <mergeCell ref="G43:H43"/>
    <mergeCell ref="J43:K43"/>
    <mergeCell ref="M43:N43"/>
    <mergeCell ref="D41:E41"/>
    <mergeCell ref="R38:R45"/>
    <mergeCell ref="P20:Q20"/>
    <mergeCell ref="P21:Q21"/>
    <mergeCell ref="P22:Q22"/>
    <mergeCell ref="P23:Q23"/>
    <mergeCell ref="P24:Q24"/>
    <mergeCell ref="G8:H8"/>
    <mergeCell ref="G9:H9"/>
    <mergeCell ref="G10:H10"/>
    <mergeCell ref="G11:H11"/>
    <mergeCell ref="G12:H12"/>
    <mergeCell ref="G13:H13"/>
    <mergeCell ref="G23:H23"/>
    <mergeCell ref="J23:K23"/>
    <mergeCell ref="M23:N23"/>
    <mergeCell ref="M15:N15"/>
    <mergeCell ref="P15:Q15"/>
    <mergeCell ref="G41:H41"/>
    <mergeCell ref="J41:K41"/>
    <mergeCell ref="M41:N41"/>
    <mergeCell ref="M37:N37"/>
    <mergeCell ref="P37:Q37"/>
    <mergeCell ref="J28:K28"/>
    <mergeCell ref="M29:N29"/>
  </mergeCells>
  <phoneticPr fontId="1"/>
  <pageMargins left="0.7" right="0.7" top="0.75" bottom="0.75" header="0.3" footer="0.3"/>
  <pageSetup paperSize="8" scale="67" orientation="landscape" horizontalDpi="1200" verticalDpi="1200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85B8F-B43D-41A4-B28A-984000457E12}">
  <sheetPr codeName="Sheet7"/>
  <dimension ref="B1:T49"/>
  <sheetViews>
    <sheetView view="pageBreakPreview" topLeftCell="A7" zoomScale="70" zoomScaleNormal="100" zoomScaleSheetLayoutView="70" workbookViewId="0">
      <selection activeCell="R44" sqref="R44"/>
    </sheetView>
  </sheetViews>
  <sheetFormatPr defaultRowHeight="18.75"/>
  <cols>
    <col min="1" max="1" width="2.5" customWidth="1"/>
    <col min="4" max="18" width="16" customWidth="1"/>
  </cols>
  <sheetData>
    <row r="1" spans="2:20" ht="24.75" thickBot="1">
      <c r="D1" s="53">
        <v>45516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20" s="5" customFormat="1">
      <c r="B2" s="201"/>
      <c r="C2" s="202"/>
      <c r="D2" s="205">
        <f>D1</f>
        <v>45516</v>
      </c>
      <c r="E2" s="195" t="s">
        <v>3</v>
      </c>
      <c r="F2" s="191" t="s">
        <v>4</v>
      </c>
      <c r="G2" s="197">
        <f>D2+1</f>
        <v>45517</v>
      </c>
      <c r="H2" s="195" t="s">
        <v>5</v>
      </c>
      <c r="I2" s="191" t="s">
        <v>4</v>
      </c>
      <c r="J2" s="197">
        <f>G2+1</f>
        <v>45518</v>
      </c>
      <c r="K2" s="195" t="s">
        <v>6</v>
      </c>
      <c r="L2" s="191" t="s">
        <v>4</v>
      </c>
      <c r="M2" s="197">
        <f>J2+1</f>
        <v>45519</v>
      </c>
      <c r="N2" s="195" t="s">
        <v>7</v>
      </c>
      <c r="O2" s="191" t="s">
        <v>4</v>
      </c>
      <c r="P2" s="197">
        <f>M2+1</f>
        <v>45520</v>
      </c>
      <c r="Q2" s="195" t="s">
        <v>8</v>
      </c>
      <c r="R2" s="191" t="s">
        <v>4</v>
      </c>
    </row>
    <row r="3" spans="2:20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20" ht="18.75" customHeight="1">
      <c r="B4" s="303" t="s">
        <v>31</v>
      </c>
      <c r="C4" s="138" t="s">
        <v>9</v>
      </c>
      <c r="D4" s="381" t="s">
        <v>208</v>
      </c>
      <c r="E4" s="382"/>
      <c r="F4" s="382"/>
      <c r="G4" s="382"/>
      <c r="H4" s="382"/>
      <c r="I4" s="382"/>
      <c r="J4" s="382"/>
      <c r="K4" s="382"/>
      <c r="L4" s="382"/>
      <c r="M4" s="382"/>
      <c r="N4" s="382"/>
      <c r="O4" s="383"/>
      <c r="P4" s="264" t="s">
        <v>67</v>
      </c>
      <c r="Q4" s="153"/>
      <c r="R4" s="6">
        <v>0.5</v>
      </c>
      <c r="S4" s="211"/>
      <c r="T4" s="211"/>
    </row>
    <row r="5" spans="2:20" ht="18.75" customHeight="1">
      <c r="B5" s="304"/>
      <c r="C5" s="139"/>
      <c r="D5" s="384"/>
      <c r="E5" s="385"/>
      <c r="F5" s="385"/>
      <c r="G5" s="385"/>
      <c r="H5" s="385"/>
      <c r="I5" s="385"/>
      <c r="J5" s="385"/>
      <c r="K5" s="385"/>
      <c r="L5" s="385"/>
      <c r="M5" s="385"/>
      <c r="N5" s="385"/>
      <c r="O5" s="386"/>
      <c r="P5" s="157" t="s">
        <v>71</v>
      </c>
      <c r="Q5" s="155"/>
      <c r="R5" s="7">
        <v>0.1</v>
      </c>
      <c r="S5" s="211"/>
      <c r="T5" s="211"/>
    </row>
    <row r="6" spans="2:20" ht="18.75" customHeight="1">
      <c r="B6" s="304"/>
      <c r="C6" s="139"/>
      <c r="D6" s="384"/>
      <c r="E6" s="385"/>
      <c r="F6" s="385"/>
      <c r="G6" s="385"/>
      <c r="H6" s="385"/>
      <c r="I6" s="385"/>
      <c r="J6" s="385"/>
      <c r="K6" s="385"/>
      <c r="L6" s="385"/>
      <c r="M6" s="385"/>
      <c r="N6" s="385"/>
      <c r="O6" s="386"/>
      <c r="P6" s="154" t="s">
        <v>247</v>
      </c>
      <c r="Q6" s="155"/>
      <c r="R6" s="16">
        <v>0.5</v>
      </c>
      <c r="S6" s="212"/>
      <c r="T6" s="212"/>
    </row>
    <row r="7" spans="2:20" ht="18.75" customHeight="1">
      <c r="B7" s="304"/>
      <c r="C7" s="139"/>
      <c r="D7" s="384"/>
      <c r="E7" s="385"/>
      <c r="F7" s="385"/>
      <c r="G7" s="385"/>
      <c r="H7" s="385"/>
      <c r="I7" s="385"/>
      <c r="J7" s="385"/>
      <c r="K7" s="385"/>
      <c r="L7" s="385"/>
      <c r="M7" s="385"/>
      <c r="N7" s="385"/>
      <c r="O7" s="386"/>
      <c r="P7" s="157" t="s">
        <v>66</v>
      </c>
      <c r="Q7" s="136"/>
      <c r="R7" s="16">
        <v>1</v>
      </c>
      <c r="S7" s="8"/>
      <c r="T7" s="8"/>
    </row>
    <row r="8" spans="2:20" ht="19.5" customHeight="1" thickBot="1">
      <c r="B8" s="304"/>
      <c r="C8" s="140"/>
      <c r="D8" s="384"/>
      <c r="E8" s="385"/>
      <c r="F8" s="385"/>
      <c r="G8" s="385"/>
      <c r="H8" s="385"/>
      <c r="I8" s="385"/>
      <c r="J8" s="385"/>
      <c r="K8" s="385"/>
      <c r="L8" s="385"/>
      <c r="M8" s="385"/>
      <c r="N8" s="385"/>
      <c r="O8" s="386"/>
      <c r="P8" s="161"/>
      <c r="Q8" s="159"/>
      <c r="R8" s="9"/>
      <c r="S8" s="214"/>
      <c r="T8" s="214"/>
    </row>
    <row r="9" spans="2:20" ht="18.75" customHeight="1">
      <c r="B9" s="304"/>
      <c r="C9" s="138" t="s">
        <v>20</v>
      </c>
      <c r="D9" s="384"/>
      <c r="E9" s="385"/>
      <c r="F9" s="385"/>
      <c r="G9" s="385"/>
      <c r="H9" s="385"/>
      <c r="I9" s="385"/>
      <c r="J9" s="385"/>
      <c r="K9" s="385"/>
      <c r="L9" s="385"/>
      <c r="M9" s="385"/>
      <c r="N9" s="385"/>
      <c r="O9" s="386"/>
      <c r="P9" s="154" t="s">
        <v>246</v>
      </c>
      <c r="Q9" s="155"/>
      <c r="R9" s="16">
        <v>5.4</v>
      </c>
      <c r="S9" s="11"/>
      <c r="T9" s="11"/>
    </row>
    <row r="10" spans="2:20" ht="18.75" customHeight="1">
      <c r="B10" s="304"/>
      <c r="C10" s="139"/>
      <c r="D10" s="384"/>
      <c r="E10" s="385"/>
      <c r="F10" s="385"/>
      <c r="G10" s="385"/>
      <c r="H10" s="385"/>
      <c r="I10" s="385"/>
      <c r="J10" s="385"/>
      <c r="K10" s="385"/>
      <c r="L10" s="385"/>
      <c r="M10" s="385"/>
      <c r="N10" s="385"/>
      <c r="O10" s="386"/>
      <c r="P10" s="154"/>
      <c r="Q10" s="155"/>
      <c r="R10" s="7"/>
      <c r="S10" s="11"/>
      <c r="T10" s="11"/>
    </row>
    <row r="11" spans="2:20" ht="18.75" customHeight="1">
      <c r="B11" s="304"/>
      <c r="C11" s="139"/>
      <c r="D11" s="384"/>
      <c r="E11" s="385"/>
      <c r="F11" s="385"/>
      <c r="G11" s="385"/>
      <c r="H11" s="385"/>
      <c r="I11" s="385"/>
      <c r="J11" s="385"/>
      <c r="K11" s="385"/>
      <c r="L11" s="385"/>
      <c r="M11" s="385"/>
      <c r="N11" s="385"/>
      <c r="O11" s="386"/>
      <c r="P11" s="154"/>
      <c r="Q11" s="155"/>
      <c r="R11" s="16"/>
      <c r="S11" s="215"/>
      <c r="T11" s="215"/>
    </row>
    <row r="12" spans="2:20" ht="18.75" customHeight="1">
      <c r="B12" s="304"/>
      <c r="C12" s="139"/>
      <c r="D12" s="384"/>
      <c r="E12" s="385"/>
      <c r="F12" s="385"/>
      <c r="G12" s="385"/>
      <c r="H12" s="385"/>
      <c r="I12" s="385"/>
      <c r="J12" s="385"/>
      <c r="K12" s="385"/>
      <c r="L12" s="385"/>
      <c r="M12" s="385"/>
      <c r="N12" s="385"/>
      <c r="O12" s="386"/>
      <c r="P12" s="154"/>
      <c r="Q12" s="155"/>
      <c r="R12" s="7"/>
      <c r="S12" s="214"/>
      <c r="T12" s="214"/>
    </row>
    <row r="13" spans="2:20" ht="19.5" customHeight="1" thickBot="1">
      <c r="B13" s="304"/>
      <c r="C13" s="140"/>
      <c r="D13" s="384"/>
      <c r="E13" s="385"/>
      <c r="F13" s="385"/>
      <c r="G13" s="385"/>
      <c r="H13" s="385"/>
      <c r="I13" s="385"/>
      <c r="J13" s="385"/>
      <c r="K13" s="385"/>
      <c r="L13" s="385"/>
      <c r="M13" s="385"/>
      <c r="N13" s="385"/>
      <c r="O13" s="386"/>
      <c r="P13" s="160" t="s">
        <v>68</v>
      </c>
      <c r="Q13" s="159"/>
      <c r="R13" s="9">
        <v>0.25</v>
      </c>
      <c r="S13" s="215"/>
      <c r="T13" s="215"/>
    </row>
    <row r="14" spans="2:20" ht="19.5" thickBot="1">
      <c r="B14" s="305"/>
      <c r="C14" s="18" t="s">
        <v>76</v>
      </c>
      <c r="D14" s="384"/>
      <c r="E14" s="385"/>
      <c r="F14" s="385"/>
      <c r="G14" s="385"/>
      <c r="H14" s="385"/>
      <c r="I14" s="385"/>
      <c r="J14" s="385"/>
      <c r="K14" s="385"/>
      <c r="L14" s="385"/>
      <c r="M14" s="385"/>
      <c r="N14" s="385"/>
      <c r="O14" s="386"/>
      <c r="P14" s="17"/>
      <c r="Q14" s="17"/>
      <c r="R14" s="18">
        <f>SUM(R4:R13)</f>
        <v>7.75</v>
      </c>
    </row>
    <row r="15" spans="2:20" ht="18.75" customHeight="1">
      <c r="B15" s="149" t="s">
        <v>32</v>
      </c>
      <c r="C15" s="138" t="s">
        <v>9</v>
      </c>
      <c r="D15" s="384"/>
      <c r="E15" s="385"/>
      <c r="F15" s="385"/>
      <c r="G15" s="385"/>
      <c r="H15" s="385"/>
      <c r="I15" s="385"/>
      <c r="J15" s="385"/>
      <c r="K15" s="385"/>
      <c r="L15" s="385"/>
      <c r="M15" s="385"/>
      <c r="N15" s="385"/>
      <c r="O15" s="386"/>
      <c r="P15" s="380" t="s">
        <v>166</v>
      </c>
      <c r="Q15" s="328"/>
      <c r="R15" s="33">
        <v>0.5</v>
      </c>
    </row>
    <row r="16" spans="2:20">
      <c r="B16" s="150"/>
      <c r="C16" s="139"/>
      <c r="D16" s="384"/>
      <c r="E16" s="385"/>
      <c r="F16" s="385"/>
      <c r="G16" s="385"/>
      <c r="H16" s="385"/>
      <c r="I16" s="385"/>
      <c r="J16" s="385"/>
      <c r="K16" s="385"/>
      <c r="L16" s="385"/>
      <c r="M16" s="385"/>
      <c r="N16" s="385"/>
      <c r="O16" s="386"/>
      <c r="P16" s="311" t="s">
        <v>209</v>
      </c>
      <c r="Q16" s="222"/>
      <c r="R16" s="24">
        <v>1</v>
      </c>
    </row>
    <row r="17" spans="2:18">
      <c r="B17" s="150"/>
      <c r="C17" s="139"/>
      <c r="D17" s="384"/>
      <c r="E17" s="385"/>
      <c r="F17" s="385"/>
      <c r="G17" s="385"/>
      <c r="H17" s="385"/>
      <c r="I17" s="385"/>
      <c r="J17" s="385"/>
      <c r="K17" s="385"/>
      <c r="L17" s="385"/>
      <c r="M17" s="385"/>
      <c r="N17" s="385"/>
      <c r="O17" s="386"/>
      <c r="P17" s="154" t="s">
        <v>180</v>
      </c>
      <c r="Q17" s="155"/>
      <c r="R17" s="7" t="s">
        <v>38</v>
      </c>
    </row>
    <row r="18" spans="2:18">
      <c r="B18" s="150"/>
      <c r="C18" s="139"/>
      <c r="D18" s="384"/>
      <c r="E18" s="385"/>
      <c r="F18" s="385"/>
      <c r="G18" s="385"/>
      <c r="H18" s="385"/>
      <c r="I18" s="385"/>
      <c r="J18" s="385"/>
      <c r="K18" s="385"/>
      <c r="L18" s="385"/>
      <c r="M18" s="385"/>
      <c r="N18" s="385"/>
      <c r="O18" s="386"/>
      <c r="P18" s="51" t="s">
        <v>210</v>
      </c>
      <c r="Q18" s="50" t="s">
        <v>172</v>
      </c>
      <c r="R18" s="7">
        <v>2.5</v>
      </c>
    </row>
    <row r="19" spans="2:18" ht="19.5" thickBot="1">
      <c r="B19" s="150"/>
      <c r="C19" s="140"/>
      <c r="D19" s="384"/>
      <c r="E19" s="385"/>
      <c r="F19" s="385"/>
      <c r="G19" s="385"/>
      <c r="H19" s="385"/>
      <c r="I19" s="385"/>
      <c r="J19" s="385"/>
      <c r="K19" s="385"/>
      <c r="L19" s="385"/>
      <c r="M19" s="385"/>
      <c r="N19" s="385"/>
      <c r="O19" s="386"/>
      <c r="P19" s="399"/>
      <c r="Q19" s="370"/>
      <c r="R19" s="35"/>
    </row>
    <row r="20" spans="2:18" ht="18.75" customHeight="1">
      <c r="B20" s="150"/>
      <c r="C20" s="138" t="s">
        <v>20</v>
      </c>
      <c r="D20" s="384"/>
      <c r="E20" s="385"/>
      <c r="F20" s="385"/>
      <c r="G20" s="385"/>
      <c r="H20" s="385"/>
      <c r="I20" s="385"/>
      <c r="J20" s="385"/>
      <c r="K20" s="385"/>
      <c r="L20" s="385"/>
      <c r="M20" s="385"/>
      <c r="N20" s="385"/>
      <c r="O20" s="386"/>
      <c r="P20" s="156" t="s">
        <v>211</v>
      </c>
      <c r="Q20" s="153"/>
      <c r="R20" s="7">
        <v>3.5</v>
      </c>
    </row>
    <row r="21" spans="2:18" ht="18.75" customHeight="1">
      <c r="B21" s="150"/>
      <c r="C21" s="139"/>
      <c r="D21" s="384"/>
      <c r="E21" s="385"/>
      <c r="F21" s="385"/>
      <c r="G21" s="385"/>
      <c r="H21" s="385"/>
      <c r="I21" s="385"/>
      <c r="J21" s="385"/>
      <c r="K21" s="385"/>
      <c r="L21" s="385"/>
      <c r="M21" s="385"/>
      <c r="N21" s="385"/>
      <c r="O21" s="386"/>
      <c r="P21" s="154"/>
      <c r="Q21" s="155"/>
      <c r="R21" s="7"/>
    </row>
    <row r="22" spans="2:18" ht="18.75" customHeight="1">
      <c r="B22" s="150"/>
      <c r="C22" s="139"/>
      <c r="D22" s="384"/>
      <c r="E22" s="385"/>
      <c r="F22" s="385"/>
      <c r="G22" s="385"/>
      <c r="H22" s="385"/>
      <c r="I22" s="385"/>
      <c r="J22" s="385"/>
      <c r="K22" s="385"/>
      <c r="L22" s="385"/>
      <c r="M22" s="385"/>
      <c r="N22" s="385"/>
      <c r="O22" s="386"/>
      <c r="P22" s="154"/>
      <c r="Q22" s="155"/>
      <c r="R22" s="7"/>
    </row>
    <row r="23" spans="2:18" ht="18.75" customHeight="1">
      <c r="B23" s="150"/>
      <c r="C23" s="139"/>
      <c r="D23" s="384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6"/>
      <c r="P23" s="154"/>
      <c r="Q23" s="155"/>
      <c r="R23" s="7"/>
    </row>
    <row r="24" spans="2:18" ht="19.5" customHeight="1" thickBot="1">
      <c r="B24" s="150"/>
      <c r="C24" s="140"/>
      <c r="D24" s="384"/>
      <c r="E24" s="385"/>
      <c r="F24" s="385"/>
      <c r="G24" s="385"/>
      <c r="H24" s="385"/>
      <c r="I24" s="385"/>
      <c r="J24" s="385"/>
      <c r="K24" s="385"/>
      <c r="L24" s="385"/>
      <c r="M24" s="385"/>
      <c r="N24" s="385"/>
      <c r="O24" s="386"/>
      <c r="P24" s="399" t="s">
        <v>174</v>
      </c>
      <c r="Q24" s="370"/>
      <c r="R24" s="35">
        <v>0.25</v>
      </c>
    </row>
    <row r="25" spans="2:18" ht="19.5" thickBot="1">
      <c r="B25" s="151"/>
      <c r="C25" s="18" t="s">
        <v>76</v>
      </c>
      <c r="D25" s="384"/>
      <c r="E25" s="385"/>
      <c r="F25" s="385"/>
      <c r="G25" s="385"/>
      <c r="H25" s="385"/>
      <c r="I25" s="385"/>
      <c r="J25" s="385"/>
      <c r="K25" s="385"/>
      <c r="L25" s="385"/>
      <c r="M25" s="385"/>
      <c r="N25" s="385"/>
      <c r="O25" s="386"/>
      <c r="P25" s="17"/>
      <c r="Q25" s="17"/>
      <c r="R25" s="18">
        <f>SUM(R15:R24)</f>
        <v>7.75</v>
      </c>
    </row>
    <row r="26" spans="2:18" ht="18.75" customHeight="1">
      <c r="B26" s="149" t="s">
        <v>65</v>
      </c>
      <c r="C26" s="138" t="s">
        <v>9</v>
      </c>
      <c r="D26" s="384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6"/>
      <c r="P26" s="156" t="s">
        <v>37</v>
      </c>
      <c r="Q26" s="153"/>
      <c r="R26" s="6" t="s">
        <v>38</v>
      </c>
    </row>
    <row r="27" spans="2:18">
      <c r="B27" s="150"/>
      <c r="C27" s="139"/>
      <c r="D27" s="384"/>
      <c r="E27" s="385"/>
      <c r="F27" s="385"/>
      <c r="G27" s="385"/>
      <c r="H27" s="385"/>
      <c r="I27" s="385"/>
      <c r="J27" s="385"/>
      <c r="K27" s="385"/>
      <c r="L27" s="385"/>
      <c r="M27" s="385"/>
      <c r="N27" s="385"/>
      <c r="O27" s="386"/>
      <c r="P27" s="154" t="s">
        <v>212</v>
      </c>
      <c r="Q27" s="155"/>
      <c r="R27" s="7">
        <v>0.5</v>
      </c>
    </row>
    <row r="28" spans="2:18">
      <c r="B28" s="150"/>
      <c r="C28" s="139"/>
      <c r="D28" s="384"/>
      <c r="E28" s="385"/>
      <c r="F28" s="385"/>
      <c r="G28" s="385"/>
      <c r="H28" s="385"/>
      <c r="I28" s="385"/>
      <c r="J28" s="385"/>
      <c r="K28" s="385"/>
      <c r="L28" s="385"/>
      <c r="M28" s="385"/>
      <c r="N28" s="385"/>
      <c r="O28" s="386"/>
      <c r="P28" s="154" t="s">
        <v>213</v>
      </c>
      <c r="Q28" s="155"/>
      <c r="R28" s="7">
        <v>2</v>
      </c>
    </row>
    <row r="29" spans="2:18">
      <c r="B29" s="150"/>
      <c r="C29" s="139"/>
      <c r="D29" s="384"/>
      <c r="E29" s="385"/>
      <c r="F29" s="385"/>
      <c r="G29" s="385"/>
      <c r="H29" s="385"/>
      <c r="I29" s="385"/>
      <c r="J29" s="385"/>
      <c r="K29" s="385"/>
      <c r="L29" s="385"/>
      <c r="M29" s="385"/>
      <c r="N29" s="385"/>
      <c r="O29" s="386"/>
      <c r="P29" s="154" t="s">
        <v>214</v>
      </c>
      <c r="Q29" s="155"/>
      <c r="R29" s="12"/>
    </row>
    <row r="30" spans="2:18" ht="19.5" thickBot="1">
      <c r="B30" s="150"/>
      <c r="C30" s="140"/>
      <c r="D30" s="384"/>
      <c r="E30" s="385"/>
      <c r="F30" s="385"/>
      <c r="G30" s="385"/>
      <c r="H30" s="385"/>
      <c r="I30" s="385"/>
      <c r="J30" s="385"/>
      <c r="K30" s="385"/>
      <c r="L30" s="385"/>
      <c r="M30" s="385"/>
      <c r="N30" s="385"/>
      <c r="O30" s="386"/>
      <c r="P30" s="161" t="s">
        <v>215</v>
      </c>
      <c r="Q30" s="159"/>
      <c r="R30" s="9">
        <v>0.5</v>
      </c>
    </row>
    <row r="31" spans="2:18">
      <c r="B31" s="150"/>
      <c r="C31" s="138" t="s">
        <v>20</v>
      </c>
      <c r="D31" s="384"/>
      <c r="E31" s="385"/>
      <c r="F31" s="385"/>
      <c r="G31" s="385"/>
      <c r="H31" s="385"/>
      <c r="I31" s="385"/>
      <c r="J31" s="385"/>
      <c r="K31" s="385"/>
      <c r="L31" s="385"/>
      <c r="M31" s="385"/>
      <c r="N31" s="385"/>
      <c r="O31" s="386"/>
      <c r="P31" s="390" t="s">
        <v>216</v>
      </c>
      <c r="Q31" s="391"/>
      <c r="R31" s="392"/>
    </row>
    <row r="32" spans="2:18">
      <c r="B32" s="150"/>
      <c r="C32" s="139"/>
      <c r="D32" s="384"/>
      <c r="E32" s="385"/>
      <c r="F32" s="385"/>
      <c r="G32" s="385"/>
      <c r="H32" s="385"/>
      <c r="I32" s="385"/>
      <c r="J32" s="385"/>
      <c r="K32" s="385"/>
      <c r="L32" s="385"/>
      <c r="M32" s="385"/>
      <c r="N32" s="385"/>
      <c r="O32" s="386"/>
      <c r="P32" s="393"/>
      <c r="Q32" s="394"/>
      <c r="R32" s="395"/>
    </row>
    <row r="33" spans="2:18">
      <c r="B33" s="150"/>
      <c r="C33" s="139"/>
      <c r="D33" s="384"/>
      <c r="E33" s="385"/>
      <c r="F33" s="385"/>
      <c r="G33" s="385"/>
      <c r="H33" s="385"/>
      <c r="I33" s="385"/>
      <c r="J33" s="385"/>
      <c r="K33" s="385"/>
      <c r="L33" s="385"/>
      <c r="M33" s="385"/>
      <c r="N33" s="385"/>
      <c r="O33" s="386"/>
      <c r="P33" s="393"/>
      <c r="Q33" s="394"/>
      <c r="R33" s="395"/>
    </row>
    <row r="34" spans="2:18">
      <c r="B34" s="150"/>
      <c r="C34" s="139"/>
      <c r="D34" s="384"/>
      <c r="E34" s="385"/>
      <c r="F34" s="385"/>
      <c r="G34" s="385"/>
      <c r="H34" s="385"/>
      <c r="I34" s="385"/>
      <c r="J34" s="385"/>
      <c r="K34" s="385"/>
      <c r="L34" s="385"/>
      <c r="M34" s="385"/>
      <c r="N34" s="385"/>
      <c r="O34" s="386"/>
      <c r="P34" s="393"/>
      <c r="Q34" s="394"/>
      <c r="R34" s="395"/>
    </row>
    <row r="35" spans="2:18" ht="19.5" thickBot="1">
      <c r="B35" s="150"/>
      <c r="C35" s="140"/>
      <c r="D35" s="384"/>
      <c r="E35" s="385"/>
      <c r="F35" s="385"/>
      <c r="G35" s="385"/>
      <c r="H35" s="385"/>
      <c r="I35" s="385"/>
      <c r="J35" s="385"/>
      <c r="K35" s="385"/>
      <c r="L35" s="385"/>
      <c r="M35" s="385"/>
      <c r="N35" s="385"/>
      <c r="O35" s="386"/>
      <c r="P35" s="396"/>
      <c r="Q35" s="397"/>
      <c r="R35" s="398"/>
    </row>
    <row r="36" spans="2:18" ht="19.5" thickBot="1">
      <c r="B36" s="151"/>
      <c r="C36" s="18" t="s">
        <v>76</v>
      </c>
      <c r="D36" s="384"/>
      <c r="E36" s="385"/>
      <c r="F36" s="385"/>
      <c r="G36" s="385"/>
      <c r="H36" s="385"/>
      <c r="I36" s="385"/>
      <c r="J36" s="385"/>
      <c r="K36" s="385"/>
      <c r="L36" s="385"/>
      <c r="M36" s="385"/>
      <c r="N36" s="385"/>
      <c r="O36" s="386"/>
      <c r="P36" s="17"/>
      <c r="Q36" s="17"/>
      <c r="R36" s="18">
        <f>SUM(R26:R35)</f>
        <v>3</v>
      </c>
    </row>
    <row r="37" spans="2:18">
      <c r="B37" s="149" t="s">
        <v>146</v>
      </c>
      <c r="C37" s="138" t="s">
        <v>9</v>
      </c>
      <c r="D37" s="384"/>
      <c r="E37" s="385"/>
      <c r="F37" s="385"/>
      <c r="G37" s="385"/>
      <c r="H37" s="385"/>
      <c r="I37" s="385"/>
      <c r="J37" s="385"/>
      <c r="K37" s="385"/>
      <c r="L37" s="385"/>
      <c r="M37" s="385"/>
      <c r="N37" s="385"/>
      <c r="O37" s="386"/>
      <c r="P37" s="264" t="s">
        <v>67</v>
      </c>
      <c r="Q37" s="153"/>
      <c r="R37" s="6">
        <v>0.5</v>
      </c>
    </row>
    <row r="38" spans="2:18">
      <c r="B38" s="150"/>
      <c r="C38" s="139"/>
      <c r="D38" s="384"/>
      <c r="E38" s="385"/>
      <c r="F38" s="385"/>
      <c r="G38" s="385"/>
      <c r="H38" s="385"/>
      <c r="I38" s="385"/>
      <c r="J38" s="385"/>
      <c r="K38" s="385"/>
      <c r="L38" s="385"/>
      <c r="M38" s="385"/>
      <c r="N38" s="385"/>
      <c r="O38" s="386"/>
      <c r="P38" s="154" t="s">
        <v>199</v>
      </c>
      <c r="Q38" s="155"/>
      <c r="R38" s="16">
        <v>2.5</v>
      </c>
    </row>
    <row r="39" spans="2:18">
      <c r="B39" s="150"/>
      <c r="C39" s="139"/>
      <c r="D39" s="384"/>
      <c r="E39" s="385"/>
      <c r="F39" s="385"/>
      <c r="G39" s="385"/>
      <c r="H39" s="385"/>
      <c r="I39" s="385"/>
      <c r="J39" s="385"/>
      <c r="K39" s="385"/>
      <c r="L39" s="385"/>
      <c r="M39" s="385"/>
      <c r="N39" s="385"/>
      <c r="O39" s="386"/>
      <c r="P39" s="157"/>
      <c r="Q39" s="155"/>
      <c r="R39" s="7"/>
    </row>
    <row r="40" spans="2:18">
      <c r="B40" s="150"/>
      <c r="C40" s="139"/>
      <c r="D40" s="384"/>
      <c r="E40" s="385"/>
      <c r="F40" s="385"/>
      <c r="G40" s="385"/>
      <c r="H40" s="385"/>
      <c r="I40" s="385"/>
      <c r="J40" s="385"/>
      <c r="K40" s="385"/>
      <c r="L40" s="385"/>
      <c r="M40" s="385"/>
      <c r="N40" s="385"/>
      <c r="O40" s="386"/>
      <c r="P40" s="154"/>
      <c r="Q40" s="155"/>
      <c r="R40" s="7"/>
    </row>
    <row r="41" spans="2:18" ht="19.5" thickBot="1">
      <c r="B41" s="150"/>
      <c r="C41" s="140"/>
      <c r="D41" s="384"/>
      <c r="E41" s="385"/>
      <c r="F41" s="385"/>
      <c r="G41" s="385"/>
      <c r="H41" s="385"/>
      <c r="I41" s="385"/>
      <c r="J41" s="385"/>
      <c r="K41" s="385"/>
      <c r="L41" s="385"/>
      <c r="M41" s="385"/>
      <c r="N41" s="385"/>
      <c r="O41" s="386"/>
      <c r="P41" s="217"/>
      <c r="Q41" s="218"/>
      <c r="R41" s="34"/>
    </row>
    <row r="42" spans="2:18">
      <c r="B42" s="150"/>
      <c r="C42" s="138" t="s">
        <v>20</v>
      </c>
      <c r="D42" s="384"/>
      <c r="E42" s="385"/>
      <c r="F42" s="385"/>
      <c r="G42" s="385"/>
      <c r="H42" s="385"/>
      <c r="I42" s="385"/>
      <c r="J42" s="385"/>
      <c r="K42" s="385"/>
      <c r="L42" s="385"/>
      <c r="M42" s="385"/>
      <c r="N42" s="385"/>
      <c r="O42" s="386"/>
      <c r="P42" s="154" t="s">
        <v>199</v>
      </c>
      <c r="Q42" s="155"/>
      <c r="R42" s="16">
        <v>4.25</v>
      </c>
    </row>
    <row r="43" spans="2:18">
      <c r="B43" s="150"/>
      <c r="C43" s="139"/>
      <c r="D43" s="384"/>
      <c r="E43" s="385"/>
      <c r="F43" s="385"/>
      <c r="G43" s="385"/>
      <c r="H43" s="385"/>
      <c r="I43" s="385"/>
      <c r="J43" s="385"/>
      <c r="K43" s="385"/>
      <c r="L43" s="385"/>
      <c r="M43" s="385"/>
      <c r="N43" s="385"/>
      <c r="O43" s="386"/>
      <c r="P43" s="157"/>
      <c r="Q43" s="155"/>
      <c r="R43" s="7"/>
    </row>
    <row r="44" spans="2:18">
      <c r="B44" s="150"/>
      <c r="C44" s="139"/>
      <c r="D44" s="384"/>
      <c r="E44" s="385"/>
      <c r="F44" s="385"/>
      <c r="G44" s="385"/>
      <c r="H44" s="385"/>
      <c r="I44" s="385"/>
      <c r="J44" s="385"/>
      <c r="K44" s="385"/>
      <c r="L44" s="385"/>
      <c r="M44" s="385"/>
      <c r="N44" s="385"/>
      <c r="O44" s="386"/>
      <c r="P44" s="154"/>
      <c r="Q44" s="155"/>
      <c r="R44" s="7"/>
    </row>
    <row r="45" spans="2:18">
      <c r="B45" s="150"/>
      <c r="C45" s="139"/>
      <c r="D45" s="384"/>
      <c r="E45" s="385"/>
      <c r="F45" s="385"/>
      <c r="G45" s="385"/>
      <c r="H45" s="385"/>
      <c r="I45" s="385"/>
      <c r="J45" s="385"/>
      <c r="K45" s="385"/>
      <c r="L45" s="385"/>
      <c r="M45" s="385"/>
      <c r="N45" s="385"/>
      <c r="O45" s="386"/>
      <c r="P45" s="157"/>
      <c r="Q45" s="155"/>
      <c r="R45" s="36"/>
    </row>
    <row r="46" spans="2:18" ht="19.5" thickBot="1">
      <c r="B46" s="150"/>
      <c r="C46" s="140"/>
      <c r="D46" s="387"/>
      <c r="E46" s="388"/>
      <c r="F46" s="388"/>
      <c r="G46" s="388"/>
      <c r="H46" s="388"/>
      <c r="I46" s="388"/>
      <c r="J46" s="388"/>
      <c r="K46" s="388"/>
      <c r="L46" s="388"/>
      <c r="M46" s="388"/>
      <c r="N46" s="388"/>
      <c r="O46" s="389"/>
      <c r="P46" s="329" t="s">
        <v>200</v>
      </c>
      <c r="Q46" s="287"/>
      <c r="R46" s="45">
        <v>0.5</v>
      </c>
    </row>
    <row r="47" spans="2:18" ht="19.5" thickBot="1">
      <c r="B47" s="151"/>
      <c r="C47" s="18" t="s">
        <v>76</v>
      </c>
      <c r="D47" s="17"/>
      <c r="E47" s="17"/>
      <c r="F47" s="18">
        <f>SUM(F37:F46)</f>
        <v>0</v>
      </c>
      <c r="G47" s="17"/>
      <c r="H47" s="17"/>
      <c r="I47" s="18">
        <f>SUM(I37:I46)</f>
        <v>0</v>
      </c>
      <c r="J47" s="17"/>
      <c r="K47" s="17"/>
      <c r="L47" s="18">
        <f>SUM(L37:L46)</f>
        <v>0</v>
      </c>
      <c r="M47" s="17"/>
      <c r="N47" s="17"/>
      <c r="O47" s="18">
        <f>SUM(O37:O46)</f>
        <v>0</v>
      </c>
      <c r="P47" s="17"/>
      <c r="Q47" s="17"/>
      <c r="R47" s="18">
        <f>SUM(R37:R46)</f>
        <v>7.75</v>
      </c>
    </row>
    <row r="49" spans="2:6">
      <c r="B49" s="294" t="s">
        <v>182</v>
      </c>
      <c r="C49" s="295"/>
      <c r="D49" s="49" t="s">
        <v>183</v>
      </c>
      <c r="E49" s="296" t="s">
        <v>184</v>
      </c>
      <c r="F49" s="296"/>
    </row>
  </sheetData>
  <mergeCells count="75">
    <mergeCell ref="B2:C3"/>
    <mergeCell ref="D2:D3"/>
    <mergeCell ref="E2:E3"/>
    <mergeCell ref="F2:F3"/>
    <mergeCell ref="G2:G3"/>
    <mergeCell ref="Q2:Q3"/>
    <mergeCell ref="R2:R3"/>
    <mergeCell ref="P4:Q4"/>
    <mergeCell ref="P2:P3"/>
    <mergeCell ref="G1:M1"/>
    <mergeCell ref="P1:Q1"/>
    <mergeCell ref="H2:H3"/>
    <mergeCell ref="I2:I3"/>
    <mergeCell ref="J2:J3"/>
    <mergeCell ref="K2:K3"/>
    <mergeCell ref="L2:L3"/>
    <mergeCell ref="M2:M3"/>
    <mergeCell ref="N2:N3"/>
    <mergeCell ref="O2:O3"/>
    <mergeCell ref="P10:Q10"/>
    <mergeCell ref="P11:Q11"/>
    <mergeCell ref="S4:T4"/>
    <mergeCell ref="P5:Q5"/>
    <mergeCell ref="S5:T5"/>
    <mergeCell ref="P13:Q13"/>
    <mergeCell ref="S13:T13"/>
    <mergeCell ref="B15:B25"/>
    <mergeCell ref="C15:C19"/>
    <mergeCell ref="B4:B14"/>
    <mergeCell ref="P8:Q8"/>
    <mergeCell ref="S8:T8"/>
    <mergeCell ref="C9:C13"/>
    <mergeCell ref="P9:Q9"/>
    <mergeCell ref="P6:Q6"/>
    <mergeCell ref="S6:T6"/>
    <mergeCell ref="P7:Q7"/>
    <mergeCell ref="C4:C8"/>
    <mergeCell ref="S11:T11"/>
    <mergeCell ref="P12:Q12"/>
    <mergeCell ref="S12:T12"/>
    <mergeCell ref="P17:Q17"/>
    <mergeCell ref="P22:Q22"/>
    <mergeCell ref="P23:Q23"/>
    <mergeCell ref="P24:Q24"/>
    <mergeCell ref="P15:Q15"/>
    <mergeCell ref="P16:Q16"/>
    <mergeCell ref="B26:B36"/>
    <mergeCell ref="C26:C30"/>
    <mergeCell ref="P26:Q26"/>
    <mergeCell ref="P27:Q27"/>
    <mergeCell ref="P19:Q19"/>
    <mergeCell ref="C20:C24"/>
    <mergeCell ref="C37:C41"/>
    <mergeCell ref="P30:Q30"/>
    <mergeCell ref="C31:C35"/>
    <mergeCell ref="P46:Q46"/>
    <mergeCell ref="P28:Q28"/>
    <mergeCell ref="P29:Q29"/>
    <mergeCell ref="P31:R35"/>
    <mergeCell ref="B49:C49"/>
    <mergeCell ref="E49:F49"/>
    <mergeCell ref="D4:O46"/>
    <mergeCell ref="P20:Q20"/>
    <mergeCell ref="P21:Q21"/>
    <mergeCell ref="P44:Q44"/>
    <mergeCell ref="P45:Q45"/>
    <mergeCell ref="P42:Q42"/>
    <mergeCell ref="P43:Q43"/>
    <mergeCell ref="P41:Q41"/>
    <mergeCell ref="C42:C46"/>
    <mergeCell ref="P39:Q39"/>
    <mergeCell ref="P40:Q40"/>
    <mergeCell ref="P37:Q37"/>
    <mergeCell ref="P38:Q38"/>
    <mergeCell ref="B37:B47"/>
  </mergeCells>
  <phoneticPr fontId="1"/>
  <pageMargins left="0.7" right="0.7" top="0.75" bottom="0.75" header="0.3" footer="0.3"/>
  <pageSetup paperSize="8" scale="67" orientation="landscape" horizontalDpi="1200" verticalDpi="120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15BC-AC18-4395-BD7A-4D72B37D22A9}">
  <sheetPr codeName="Sheet8"/>
  <dimension ref="B1:T49"/>
  <sheetViews>
    <sheetView view="pageBreakPreview" zoomScale="70" zoomScaleNormal="100" zoomScaleSheetLayoutView="70" workbookViewId="0">
      <selection activeCell="R44" sqref="R44"/>
    </sheetView>
  </sheetViews>
  <sheetFormatPr defaultRowHeight="18.75"/>
  <cols>
    <col min="1" max="1" width="2.5" customWidth="1"/>
    <col min="4" max="18" width="16" customWidth="1"/>
  </cols>
  <sheetData>
    <row r="1" spans="2:20" ht="24.75" thickBot="1">
      <c r="D1" s="48">
        <v>45509</v>
      </c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200" t="s">
        <v>2</v>
      </c>
      <c r="Q1" s="200"/>
      <c r="R1" s="4"/>
    </row>
    <row r="2" spans="2:20" s="5" customFormat="1">
      <c r="B2" s="201"/>
      <c r="C2" s="202"/>
      <c r="D2" s="205">
        <f>D1</f>
        <v>45509</v>
      </c>
      <c r="E2" s="195" t="s">
        <v>3</v>
      </c>
      <c r="F2" s="191" t="s">
        <v>4</v>
      </c>
      <c r="G2" s="197">
        <f>D2+1</f>
        <v>45510</v>
      </c>
      <c r="H2" s="195" t="s">
        <v>5</v>
      </c>
      <c r="I2" s="191" t="s">
        <v>4</v>
      </c>
      <c r="J2" s="197">
        <f>G2+1</f>
        <v>45511</v>
      </c>
      <c r="K2" s="195" t="s">
        <v>6</v>
      </c>
      <c r="L2" s="191" t="s">
        <v>4</v>
      </c>
      <c r="M2" s="197">
        <f>J2+1</f>
        <v>45512</v>
      </c>
      <c r="N2" s="195" t="s">
        <v>7</v>
      </c>
      <c r="O2" s="191" t="s">
        <v>4</v>
      </c>
      <c r="P2" s="197">
        <f>M2+1</f>
        <v>45513</v>
      </c>
      <c r="Q2" s="195" t="s">
        <v>8</v>
      </c>
      <c r="R2" s="191" t="s">
        <v>4</v>
      </c>
    </row>
    <row r="3" spans="2:20" ht="19.5" thickBot="1">
      <c r="B3" s="203"/>
      <c r="C3" s="204"/>
      <c r="D3" s="206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20" ht="18.75" customHeight="1">
      <c r="B4" s="303" t="s">
        <v>31</v>
      </c>
      <c r="C4" s="138" t="s">
        <v>9</v>
      </c>
      <c r="D4" s="264" t="s">
        <v>67</v>
      </c>
      <c r="E4" s="153"/>
      <c r="F4" s="6">
        <v>0.5</v>
      </c>
      <c r="G4" s="409" t="s">
        <v>196</v>
      </c>
      <c r="H4" s="410"/>
      <c r="I4" s="411"/>
      <c r="J4" s="264" t="s">
        <v>67</v>
      </c>
      <c r="K4" s="153"/>
      <c r="L4" s="6">
        <v>0.5</v>
      </c>
      <c r="M4" s="264" t="s">
        <v>67</v>
      </c>
      <c r="N4" s="153"/>
      <c r="O4" s="6">
        <v>0.5</v>
      </c>
      <c r="P4" s="264" t="s">
        <v>67</v>
      </c>
      <c r="Q4" s="153"/>
      <c r="R4" s="6">
        <v>0.5</v>
      </c>
      <c r="S4" s="211"/>
      <c r="T4" s="211"/>
    </row>
    <row r="5" spans="2:20">
      <c r="B5" s="304"/>
      <c r="C5" s="139"/>
      <c r="D5" s="157" t="s">
        <v>71</v>
      </c>
      <c r="E5" s="155"/>
      <c r="F5" s="7">
        <v>0.1</v>
      </c>
      <c r="G5" s="412"/>
      <c r="H5" s="413"/>
      <c r="I5" s="414"/>
      <c r="J5" s="157" t="s">
        <v>71</v>
      </c>
      <c r="K5" s="155"/>
      <c r="L5" s="7">
        <v>0.1</v>
      </c>
      <c r="M5" s="157" t="s">
        <v>71</v>
      </c>
      <c r="N5" s="155"/>
      <c r="O5" s="7">
        <v>0.1</v>
      </c>
      <c r="P5" s="157" t="s">
        <v>71</v>
      </c>
      <c r="Q5" s="155"/>
      <c r="R5" s="7">
        <v>0.1</v>
      </c>
      <c r="S5" s="211"/>
      <c r="T5" s="211"/>
    </row>
    <row r="6" spans="2:20">
      <c r="B6" s="304"/>
      <c r="C6" s="139"/>
      <c r="D6" s="157" t="s">
        <v>112</v>
      </c>
      <c r="E6" s="136"/>
      <c r="F6" s="7">
        <v>0.5</v>
      </c>
      <c r="G6" s="412"/>
      <c r="H6" s="413"/>
      <c r="I6" s="414"/>
      <c r="J6" s="154" t="s">
        <v>202</v>
      </c>
      <c r="K6" s="155"/>
      <c r="L6" s="7">
        <v>2.4</v>
      </c>
      <c r="M6" s="154" t="s">
        <v>205</v>
      </c>
      <c r="N6" s="155"/>
      <c r="O6" s="7">
        <v>2.4</v>
      </c>
      <c r="P6" s="154" t="s">
        <v>199</v>
      </c>
      <c r="Q6" s="155"/>
      <c r="R6" s="16">
        <v>1.4</v>
      </c>
      <c r="S6" s="212"/>
      <c r="T6" s="212"/>
    </row>
    <row r="7" spans="2:20">
      <c r="B7" s="304"/>
      <c r="C7" s="139"/>
      <c r="D7" s="154" t="s">
        <v>84</v>
      </c>
      <c r="E7" s="155"/>
      <c r="F7" s="7">
        <v>1.9</v>
      </c>
      <c r="G7" s="412"/>
      <c r="H7" s="413"/>
      <c r="I7" s="414"/>
      <c r="J7" s="154"/>
      <c r="K7" s="155"/>
      <c r="L7" s="7"/>
      <c r="M7" s="154"/>
      <c r="N7" s="155"/>
      <c r="O7" s="7"/>
      <c r="P7" s="157" t="s">
        <v>66</v>
      </c>
      <c r="Q7" s="136"/>
      <c r="R7" s="16">
        <v>1</v>
      </c>
      <c r="S7" s="8"/>
      <c r="T7" s="8"/>
    </row>
    <row r="8" spans="2:20" ht="19.5" thickBot="1">
      <c r="B8" s="304"/>
      <c r="C8" s="140"/>
      <c r="D8" s="160"/>
      <c r="E8" s="159"/>
      <c r="F8" s="9"/>
      <c r="G8" s="412"/>
      <c r="H8" s="413"/>
      <c r="I8" s="414"/>
      <c r="J8" s="160"/>
      <c r="K8" s="159"/>
      <c r="L8" s="9"/>
      <c r="M8" s="160"/>
      <c r="N8" s="159"/>
      <c r="O8" s="9"/>
      <c r="P8" s="161"/>
      <c r="Q8" s="159"/>
      <c r="R8" s="9"/>
      <c r="S8" s="214"/>
      <c r="T8" s="214"/>
    </row>
    <row r="9" spans="2:20">
      <c r="B9" s="304"/>
      <c r="C9" s="138" t="s">
        <v>20</v>
      </c>
      <c r="D9" s="154" t="s">
        <v>129</v>
      </c>
      <c r="E9" s="155"/>
      <c r="F9" s="7">
        <v>4</v>
      </c>
      <c r="G9" s="412"/>
      <c r="H9" s="413"/>
      <c r="I9" s="414"/>
      <c r="J9" s="154" t="s">
        <v>198</v>
      </c>
      <c r="K9" s="155"/>
      <c r="L9" s="16">
        <v>1</v>
      </c>
      <c r="M9" s="154" t="s">
        <v>204</v>
      </c>
      <c r="N9" s="155"/>
      <c r="O9" s="16">
        <v>1</v>
      </c>
      <c r="P9" s="154" t="s">
        <v>204</v>
      </c>
      <c r="Q9" s="155"/>
      <c r="R9" s="16">
        <v>1</v>
      </c>
      <c r="S9" s="11"/>
      <c r="T9" s="11"/>
    </row>
    <row r="10" spans="2:20">
      <c r="B10" s="304"/>
      <c r="C10" s="139"/>
      <c r="D10" s="154" t="s">
        <v>195</v>
      </c>
      <c r="E10" s="155"/>
      <c r="F10" s="16">
        <v>0.5</v>
      </c>
      <c r="G10" s="412"/>
      <c r="H10" s="413"/>
      <c r="I10" s="414"/>
      <c r="J10" s="154" t="s">
        <v>201</v>
      </c>
      <c r="K10" s="155"/>
      <c r="L10" s="7">
        <v>2.5</v>
      </c>
      <c r="M10" s="154" t="s">
        <v>205</v>
      </c>
      <c r="N10" s="155"/>
      <c r="O10" s="7">
        <v>1.25</v>
      </c>
      <c r="P10" s="154" t="s">
        <v>205</v>
      </c>
      <c r="Q10" s="155"/>
      <c r="R10" s="7">
        <v>2.5</v>
      </c>
      <c r="S10" s="11"/>
      <c r="T10" s="11"/>
    </row>
    <row r="11" spans="2:20">
      <c r="B11" s="304"/>
      <c r="C11" s="139"/>
      <c r="D11" s="300"/>
      <c r="E11" s="155"/>
      <c r="F11" s="7"/>
      <c r="G11" s="412"/>
      <c r="H11" s="413"/>
      <c r="I11" s="414"/>
      <c r="J11" s="154" t="s">
        <v>203</v>
      </c>
      <c r="K11" s="155"/>
      <c r="L11" s="16">
        <v>1</v>
      </c>
      <c r="M11" s="154" t="s">
        <v>199</v>
      </c>
      <c r="N11" s="155"/>
      <c r="O11" s="16">
        <v>1</v>
      </c>
      <c r="P11" s="154" t="s">
        <v>199</v>
      </c>
      <c r="Q11" s="155"/>
      <c r="R11" s="16">
        <v>1</v>
      </c>
      <c r="S11" s="215"/>
      <c r="T11" s="215"/>
    </row>
    <row r="12" spans="2:20">
      <c r="B12" s="304"/>
      <c r="C12" s="139"/>
      <c r="D12" s="300"/>
      <c r="E12" s="155"/>
      <c r="F12" s="7"/>
      <c r="G12" s="412"/>
      <c r="H12" s="413"/>
      <c r="I12" s="414"/>
      <c r="J12" s="154"/>
      <c r="K12" s="155"/>
      <c r="L12" s="7"/>
      <c r="M12" s="154"/>
      <c r="N12" s="155"/>
      <c r="O12" s="7"/>
      <c r="P12" s="154"/>
      <c r="Q12" s="155"/>
      <c r="R12" s="7"/>
      <c r="S12" s="214"/>
      <c r="T12" s="214"/>
    </row>
    <row r="13" spans="2:20" ht="19.5" thickBot="1">
      <c r="B13" s="304"/>
      <c r="C13" s="140"/>
      <c r="D13" s="160" t="s">
        <v>68</v>
      </c>
      <c r="E13" s="159"/>
      <c r="F13" s="9">
        <v>0.25</v>
      </c>
      <c r="G13" s="415"/>
      <c r="H13" s="416"/>
      <c r="I13" s="417"/>
      <c r="J13" s="160" t="s">
        <v>68</v>
      </c>
      <c r="K13" s="159"/>
      <c r="L13" s="9">
        <v>0.25</v>
      </c>
      <c r="M13" s="160" t="s">
        <v>206</v>
      </c>
      <c r="N13" s="159"/>
      <c r="O13" s="9">
        <v>1.5</v>
      </c>
      <c r="P13" s="160" t="s">
        <v>68</v>
      </c>
      <c r="Q13" s="159"/>
      <c r="R13" s="9">
        <v>0.25</v>
      </c>
      <c r="S13" s="215"/>
      <c r="T13" s="215"/>
    </row>
    <row r="14" spans="2:20" ht="19.5" thickBot="1">
      <c r="B14" s="305"/>
      <c r="C14" s="18" t="s">
        <v>76</v>
      </c>
      <c r="D14" s="17"/>
      <c r="E14" s="17"/>
      <c r="F14" s="18">
        <f>SUM(F4:F13)</f>
        <v>7.75</v>
      </c>
      <c r="G14" s="17"/>
      <c r="H14" s="17"/>
      <c r="I14" s="18">
        <f>SUM(I4:I13)</f>
        <v>0</v>
      </c>
      <c r="J14" s="17"/>
      <c r="K14" s="17"/>
      <c r="L14" s="18">
        <f>SUM(L4:L13)</f>
        <v>7.75</v>
      </c>
      <c r="M14" s="17"/>
      <c r="N14" s="17"/>
      <c r="O14" s="18">
        <f>SUM(O4:O13)</f>
        <v>7.75</v>
      </c>
      <c r="P14" s="17"/>
      <c r="Q14" s="17"/>
      <c r="R14" s="18">
        <f>SUM(R4:R13)</f>
        <v>7.75</v>
      </c>
    </row>
    <row r="15" spans="2:20" ht="18.75" customHeight="1">
      <c r="B15" s="149" t="s">
        <v>32</v>
      </c>
      <c r="C15" s="138" t="s">
        <v>9</v>
      </c>
      <c r="D15" s="293" t="s">
        <v>166</v>
      </c>
      <c r="E15" s="220"/>
      <c r="F15" s="21">
        <v>0.5</v>
      </c>
      <c r="G15" s="293" t="s">
        <v>166</v>
      </c>
      <c r="H15" s="220"/>
      <c r="I15" s="21">
        <v>0.5</v>
      </c>
      <c r="J15" s="219" t="s">
        <v>166</v>
      </c>
      <c r="K15" s="220"/>
      <c r="L15" s="21">
        <v>0.5</v>
      </c>
      <c r="M15" s="293" t="s">
        <v>166</v>
      </c>
      <c r="N15" s="220"/>
      <c r="O15" s="21">
        <v>0.5</v>
      </c>
      <c r="P15" s="293" t="s">
        <v>166</v>
      </c>
      <c r="Q15" s="220"/>
      <c r="R15" s="21">
        <v>0.5</v>
      </c>
    </row>
    <row r="16" spans="2:20">
      <c r="B16" s="150"/>
      <c r="C16" s="139"/>
      <c r="D16" s="162" t="s">
        <v>167</v>
      </c>
      <c r="E16" s="163"/>
      <c r="F16" s="20">
        <v>0.5</v>
      </c>
      <c r="G16" s="162" t="s">
        <v>168</v>
      </c>
      <c r="H16" s="163"/>
      <c r="I16" s="20">
        <v>0.5</v>
      </c>
      <c r="J16" s="162" t="s">
        <v>169</v>
      </c>
      <c r="K16" s="163"/>
      <c r="L16" s="20">
        <v>0.5</v>
      </c>
      <c r="M16" s="162" t="s">
        <v>170</v>
      </c>
      <c r="N16" s="163"/>
      <c r="O16" s="20">
        <v>0.5</v>
      </c>
      <c r="P16" s="162" t="s">
        <v>171</v>
      </c>
      <c r="Q16" s="163"/>
      <c r="R16" s="20">
        <v>0.5</v>
      </c>
    </row>
    <row r="17" spans="2:18">
      <c r="B17" s="150"/>
      <c r="C17" s="139"/>
      <c r="D17" s="157" t="s">
        <v>177</v>
      </c>
      <c r="E17" s="155"/>
      <c r="F17" s="7">
        <v>2</v>
      </c>
      <c r="G17" s="157" t="s">
        <v>178</v>
      </c>
      <c r="H17" s="155" t="s">
        <v>172</v>
      </c>
      <c r="I17" s="7">
        <v>2</v>
      </c>
      <c r="J17" s="157" t="s">
        <v>179</v>
      </c>
      <c r="K17" s="155" t="s">
        <v>172</v>
      </c>
      <c r="L17" s="7">
        <v>2</v>
      </c>
      <c r="M17" s="162" t="s">
        <v>173</v>
      </c>
      <c r="N17" s="163"/>
      <c r="O17" s="20">
        <v>0.25</v>
      </c>
      <c r="P17" s="157" t="s">
        <v>180</v>
      </c>
      <c r="Q17" s="155"/>
      <c r="R17" s="7" t="s">
        <v>38</v>
      </c>
    </row>
    <row r="18" spans="2:18">
      <c r="B18" s="150"/>
      <c r="C18" s="139"/>
      <c r="D18" s="300"/>
      <c r="E18" s="155"/>
      <c r="F18" s="7"/>
      <c r="G18" s="162"/>
      <c r="H18" s="163"/>
      <c r="I18" s="20"/>
      <c r="J18" s="162"/>
      <c r="K18" s="163"/>
      <c r="L18" s="20"/>
      <c r="M18" s="157" t="s">
        <v>181</v>
      </c>
      <c r="N18" s="155" t="s">
        <v>172</v>
      </c>
      <c r="O18" s="7">
        <v>2</v>
      </c>
      <c r="P18" s="157" t="s">
        <v>181</v>
      </c>
      <c r="Q18" s="155" t="s">
        <v>172</v>
      </c>
      <c r="R18" s="7">
        <v>1.75</v>
      </c>
    </row>
    <row r="19" spans="2:18" ht="19.5" thickBot="1">
      <c r="B19" s="150"/>
      <c r="C19" s="140"/>
      <c r="D19" s="340" t="s">
        <v>180</v>
      </c>
      <c r="E19" s="218"/>
      <c r="F19" s="9" t="s">
        <v>38</v>
      </c>
      <c r="G19" s="340" t="s">
        <v>180</v>
      </c>
      <c r="H19" s="218"/>
      <c r="I19" s="9" t="s">
        <v>38</v>
      </c>
      <c r="J19" s="340" t="s">
        <v>180</v>
      </c>
      <c r="K19" s="218"/>
      <c r="L19" s="9" t="s">
        <v>38</v>
      </c>
      <c r="M19" s="340" t="s">
        <v>180</v>
      </c>
      <c r="N19" s="218"/>
      <c r="O19" s="9" t="s">
        <v>38</v>
      </c>
      <c r="P19" s="329" t="s">
        <v>174</v>
      </c>
      <c r="Q19" s="287"/>
      <c r="R19" s="45">
        <v>0.25</v>
      </c>
    </row>
    <row r="20" spans="2:18">
      <c r="B20" s="150"/>
      <c r="C20" s="138" t="s">
        <v>20</v>
      </c>
      <c r="D20" s="359" t="s">
        <v>176</v>
      </c>
      <c r="E20" s="268"/>
      <c r="F20" s="43">
        <v>2</v>
      </c>
      <c r="G20" s="157" t="s">
        <v>178</v>
      </c>
      <c r="H20" s="155" t="s">
        <v>172</v>
      </c>
      <c r="I20" s="7">
        <v>2</v>
      </c>
      <c r="J20" s="157" t="s">
        <v>179</v>
      </c>
      <c r="K20" s="155"/>
      <c r="L20" s="7">
        <v>2</v>
      </c>
      <c r="M20" s="157" t="s">
        <v>181</v>
      </c>
      <c r="N20" s="155"/>
      <c r="O20" s="7">
        <v>2</v>
      </c>
      <c r="P20" s="400" t="s">
        <v>197</v>
      </c>
      <c r="Q20" s="401"/>
      <c r="R20" s="402"/>
    </row>
    <row r="21" spans="2:18">
      <c r="B21" s="150"/>
      <c r="C21" s="139"/>
      <c r="D21" s="154" t="s">
        <v>207</v>
      </c>
      <c r="E21" s="155"/>
      <c r="F21" s="7">
        <v>2</v>
      </c>
      <c r="G21" s="154" t="s">
        <v>207</v>
      </c>
      <c r="H21" s="155"/>
      <c r="I21" s="7">
        <v>2</v>
      </c>
      <c r="J21" s="154" t="s">
        <v>207</v>
      </c>
      <c r="K21" s="155"/>
      <c r="L21" s="7">
        <v>1.75</v>
      </c>
      <c r="M21" s="154" t="s">
        <v>207</v>
      </c>
      <c r="N21" s="155"/>
      <c r="O21" s="7">
        <v>1.75</v>
      </c>
      <c r="P21" s="403"/>
      <c r="Q21" s="404"/>
      <c r="R21" s="405"/>
    </row>
    <row r="22" spans="2:18">
      <c r="B22" s="150"/>
      <c r="C22" s="139"/>
      <c r="D22" s="157"/>
      <c r="E22" s="155"/>
      <c r="F22" s="7"/>
      <c r="G22" s="154"/>
      <c r="H22" s="155"/>
      <c r="I22" s="7"/>
      <c r="J22" s="154"/>
      <c r="K22" s="155"/>
      <c r="L22" s="7"/>
      <c r="M22" s="157"/>
      <c r="N22" s="155"/>
      <c r="O22" s="7"/>
      <c r="P22" s="403"/>
      <c r="Q22" s="404"/>
      <c r="R22" s="405"/>
    </row>
    <row r="23" spans="2:18">
      <c r="B23" s="150"/>
      <c r="C23" s="139"/>
      <c r="D23" s="157"/>
      <c r="E23" s="155"/>
      <c r="F23" s="7"/>
      <c r="G23" s="154"/>
      <c r="H23" s="155"/>
      <c r="I23" s="7"/>
      <c r="J23" s="216" t="s">
        <v>175</v>
      </c>
      <c r="K23" s="163"/>
      <c r="L23" s="44">
        <v>0.25</v>
      </c>
      <c r="M23" s="216"/>
      <c r="N23" s="163"/>
      <c r="O23" s="20"/>
      <c r="P23" s="403"/>
      <c r="Q23" s="404"/>
      <c r="R23" s="405"/>
    </row>
    <row r="24" spans="2:18" ht="19.5" thickBot="1">
      <c r="B24" s="150"/>
      <c r="C24" s="140"/>
      <c r="D24" s="329" t="s">
        <v>174</v>
      </c>
      <c r="E24" s="287"/>
      <c r="F24" s="45">
        <v>0.75</v>
      </c>
      <c r="G24" s="329" t="s">
        <v>174</v>
      </c>
      <c r="H24" s="287"/>
      <c r="I24" s="45">
        <v>0.75</v>
      </c>
      <c r="J24" s="329" t="s">
        <v>174</v>
      </c>
      <c r="K24" s="287"/>
      <c r="L24" s="45">
        <v>0.75</v>
      </c>
      <c r="M24" s="329" t="s">
        <v>174</v>
      </c>
      <c r="N24" s="287"/>
      <c r="O24" s="45">
        <v>0.75</v>
      </c>
      <c r="P24" s="406"/>
      <c r="Q24" s="407"/>
      <c r="R24" s="408"/>
    </row>
    <row r="25" spans="2:18" ht="19.5" thickBot="1">
      <c r="B25" s="151"/>
      <c r="C25" s="18" t="s">
        <v>76</v>
      </c>
      <c r="D25" s="17"/>
      <c r="E25" s="17"/>
      <c r="F25" s="18">
        <f>SUM(F15:F24)</f>
        <v>7.75</v>
      </c>
      <c r="G25" s="17"/>
      <c r="H25" s="17"/>
      <c r="I25" s="18">
        <f>SUM(I15:I24)</f>
        <v>7.75</v>
      </c>
      <c r="J25" s="17"/>
      <c r="K25" s="17"/>
      <c r="L25" s="18">
        <f>SUM(L15:L24)</f>
        <v>7.75</v>
      </c>
      <c r="M25" s="17"/>
      <c r="N25" s="17"/>
      <c r="O25" s="18">
        <f>SUM(O15:O24)</f>
        <v>7.75</v>
      </c>
      <c r="P25" s="17"/>
      <c r="Q25" s="17"/>
      <c r="R25" s="18">
        <f>SUM(R15:R24)</f>
        <v>3</v>
      </c>
    </row>
    <row r="26" spans="2:18" ht="18.75" customHeight="1">
      <c r="B26" s="149" t="s">
        <v>65</v>
      </c>
      <c r="C26" s="138" t="s">
        <v>9</v>
      </c>
      <c r="D26" s="157" t="s">
        <v>39</v>
      </c>
      <c r="E26" s="155"/>
      <c r="F26" s="7">
        <v>2</v>
      </c>
      <c r="G26" s="154"/>
      <c r="H26" s="155"/>
      <c r="I26" s="6"/>
      <c r="J26" s="154"/>
      <c r="K26" s="155"/>
      <c r="L26" s="6"/>
      <c r="M26" s="154" t="s">
        <v>35</v>
      </c>
      <c r="N26" s="155"/>
      <c r="O26" s="6" t="s">
        <v>36</v>
      </c>
      <c r="P26" s="156" t="s">
        <v>37</v>
      </c>
      <c r="Q26" s="153"/>
      <c r="R26" s="6">
        <v>0.5</v>
      </c>
    </row>
    <row r="27" spans="2:18">
      <c r="B27" s="150"/>
      <c r="C27" s="139"/>
      <c r="D27" s="157"/>
      <c r="E27" s="155"/>
      <c r="F27" s="7"/>
      <c r="G27" s="154" t="s">
        <v>100</v>
      </c>
      <c r="H27" s="155"/>
      <c r="I27" s="7">
        <v>6</v>
      </c>
      <c r="J27" s="154" t="s">
        <v>185</v>
      </c>
      <c r="K27" s="155"/>
      <c r="L27" s="7">
        <v>6</v>
      </c>
      <c r="M27" s="154"/>
      <c r="N27" s="155"/>
      <c r="O27" s="7"/>
      <c r="P27" s="154" t="s">
        <v>186</v>
      </c>
      <c r="Q27" s="155"/>
      <c r="R27" s="7">
        <v>6</v>
      </c>
    </row>
    <row r="28" spans="2:18">
      <c r="B28" s="150"/>
      <c r="C28" s="139"/>
      <c r="D28" s="157"/>
      <c r="E28" s="155"/>
      <c r="F28" s="7"/>
      <c r="G28" s="154" t="s">
        <v>187</v>
      </c>
      <c r="H28" s="155"/>
      <c r="I28" s="7" t="s">
        <v>36</v>
      </c>
      <c r="J28" s="154" t="s">
        <v>188</v>
      </c>
      <c r="K28" s="155"/>
      <c r="L28" s="7" t="s">
        <v>36</v>
      </c>
      <c r="M28" s="311" t="s">
        <v>45</v>
      </c>
      <c r="N28" s="222"/>
      <c r="O28" s="24">
        <v>2</v>
      </c>
      <c r="P28" s="154" t="s">
        <v>189</v>
      </c>
      <c r="Q28" s="155"/>
      <c r="R28" s="7" t="s">
        <v>36</v>
      </c>
    </row>
    <row r="29" spans="2:18">
      <c r="B29" s="150"/>
      <c r="C29" s="139"/>
      <c r="D29" s="157"/>
      <c r="E29" s="155"/>
      <c r="F29" s="7"/>
      <c r="G29" s="154" t="s">
        <v>190</v>
      </c>
      <c r="H29" s="155"/>
      <c r="I29" s="7" t="s">
        <v>36</v>
      </c>
      <c r="J29" s="154" t="s">
        <v>191</v>
      </c>
      <c r="K29" s="155"/>
      <c r="L29" s="12" t="s">
        <v>36</v>
      </c>
      <c r="M29" s="154" t="s">
        <v>48</v>
      </c>
      <c r="N29" s="155"/>
      <c r="O29" s="7">
        <v>0.5</v>
      </c>
      <c r="P29" s="154" t="s">
        <v>192</v>
      </c>
      <c r="Q29" s="155"/>
      <c r="R29" s="12" t="s">
        <v>36</v>
      </c>
    </row>
    <row r="30" spans="2:18" ht="19.5" thickBot="1">
      <c r="B30" s="150"/>
      <c r="C30" s="140"/>
      <c r="D30" s="158"/>
      <c r="E30" s="159"/>
      <c r="F30" s="9"/>
      <c r="G30" s="161" t="s">
        <v>45</v>
      </c>
      <c r="H30" s="159"/>
      <c r="I30" s="9" t="s">
        <v>36</v>
      </c>
      <c r="J30" s="161" t="s">
        <v>45</v>
      </c>
      <c r="K30" s="159"/>
      <c r="L30" s="9" t="s">
        <v>36</v>
      </c>
      <c r="M30" s="161"/>
      <c r="N30" s="159"/>
      <c r="O30" s="9"/>
      <c r="P30" s="161" t="s">
        <v>45</v>
      </c>
      <c r="Q30" s="159"/>
      <c r="R30" s="9" t="s">
        <v>36</v>
      </c>
    </row>
    <row r="31" spans="2:18">
      <c r="B31" s="150"/>
      <c r="C31" s="138" t="s">
        <v>20</v>
      </c>
      <c r="D31" s="327" t="s">
        <v>193</v>
      </c>
      <c r="E31" s="328"/>
      <c r="F31" s="33">
        <v>1</v>
      </c>
      <c r="G31" s="311" t="s">
        <v>54</v>
      </c>
      <c r="H31" s="222"/>
      <c r="I31" s="7" t="s">
        <v>36</v>
      </c>
      <c r="J31" s="311" t="s">
        <v>54</v>
      </c>
      <c r="K31" s="222"/>
      <c r="L31" s="7" t="s">
        <v>36</v>
      </c>
      <c r="M31" s="154"/>
      <c r="N31" s="155"/>
      <c r="O31" s="7"/>
      <c r="P31" s="311" t="s">
        <v>54</v>
      </c>
      <c r="Q31" s="222"/>
      <c r="R31" s="7" t="s">
        <v>36</v>
      </c>
    </row>
    <row r="32" spans="2:18">
      <c r="B32" s="150"/>
      <c r="C32" s="139"/>
      <c r="D32" s="157" t="s">
        <v>119</v>
      </c>
      <c r="E32" s="155"/>
      <c r="F32" s="7">
        <v>1.5</v>
      </c>
      <c r="G32" s="154" t="s">
        <v>59</v>
      </c>
      <c r="H32" s="155"/>
      <c r="I32" s="7" t="s">
        <v>102</v>
      </c>
      <c r="J32" s="154" t="s">
        <v>59</v>
      </c>
      <c r="K32" s="155"/>
      <c r="L32" s="7" t="s">
        <v>102</v>
      </c>
      <c r="M32" s="154"/>
      <c r="N32" s="155"/>
      <c r="O32" s="7"/>
      <c r="P32" s="154" t="s">
        <v>59</v>
      </c>
      <c r="Q32" s="155"/>
      <c r="R32" s="7" t="s">
        <v>102</v>
      </c>
    </row>
    <row r="33" spans="2:18">
      <c r="B33" s="150"/>
      <c r="C33" s="139"/>
      <c r="D33" s="157" t="s">
        <v>121</v>
      </c>
      <c r="E33" s="155"/>
      <c r="F33" s="7">
        <v>0.5</v>
      </c>
      <c r="G33" s="154" t="s">
        <v>48</v>
      </c>
      <c r="H33" s="155"/>
      <c r="I33" s="7">
        <v>1</v>
      </c>
      <c r="J33" s="154" t="s">
        <v>48</v>
      </c>
      <c r="K33" s="155"/>
      <c r="L33" s="7">
        <v>1</v>
      </c>
      <c r="M33" s="311" t="s">
        <v>156</v>
      </c>
      <c r="N33" s="222"/>
      <c r="O33" s="24">
        <v>0.5</v>
      </c>
      <c r="P33" s="154" t="s">
        <v>48</v>
      </c>
      <c r="Q33" s="155"/>
      <c r="R33" s="7" t="s">
        <v>102</v>
      </c>
    </row>
    <row r="34" spans="2:18">
      <c r="B34" s="150"/>
      <c r="C34" s="139"/>
      <c r="D34" s="157" t="s">
        <v>122</v>
      </c>
      <c r="E34" s="155"/>
      <c r="F34" s="7" t="s">
        <v>36</v>
      </c>
      <c r="G34" s="154"/>
      <c r="H34" s="155"/>
      <c r="I34" s="7"/>
      <c r="J34" s="311" t="s">
        <v>194</v>
      </c>
      <c r="K34" s="222"/>
      <c r="L34" s="24" t="s">
        <v>102</v>
      </c>
      <c r="M34" s="154"/>
      <c r="N34" s="155"/>
      <c r="O34" s="7"/>
      <c r="P34" s="154" t="s">
        <v>64</v>
      </c>
      <c r="Q34" s="155"/>
      <c r="R34" s="7">
        <v>0.5</v>
      </c>
    </row>
    <row r="35" spans="2:18" ht="19.5" thickBot="1">
      <c r="B35" s="150"/>
      <c r="C35" s="140"/>
      <c r="D35" s="329" t="s">
        <v>200</v>
      </c>
      <c r="E35" s="287"/>
      <c r="F35" s="45">
        <v>0.5</v>
      </c>
      <c r="G35" s="329" t="s">
        <v>200</v>
      </c>
      <c r="H35" s="287"/>
      <c r="I35" s="45">
        <v>0.5</v>
      </c>
      <c r="J35" s="329" t="s">
        <v>200</v>
      </c>
      <c r="K35" s="287"/>
      <c r="L35" s="45">
        <v>0.5</v>
      </c>
      <c r="M35" s="329" t="s">
        <v>200</v>
      </c>
      <c r="N35" s="287"/>
      <c r="O35" s="45">
        <v>0.5</v>
      </c>
      <c r="P35" s="329" t="s">
        <v>200</v>
      </c>
      <c r="Q35" s="287"/>
      <c r="R35" s="45">
        <v>0.5</v>
      </c>
    </row>
    <row r="36" spans="2:18" ht="19.5" thickBot="1">
      <c r="B36" s="151"/>
      <c r="C36" s="18" t="s">
        <v>76</v>
      </c>
      <c r="D36" s="17"/>
      <c r="E36" s="17"/>
      <c r="F36" s="18">
        <f>SUM(F26:F35)</f>
        <v>5.5</v>
      </c>
      <c r="G36" s="17"/>
      <c r="H36" s="17"/>
      <c r="I36" s="18">
        <f>SUM(I26:I35)</f>
        <v>7.5</v>
      </c>
      <c r="J36" s="17"/>
      <c r="K36" s="17"/>
      <c r="L36" s="18">
        <f>SUM(L26:L35)</f>
        <v>7.5</v>
      </c>
      <c r="M36" s="17"/>
      <c r="N36" s="17"/>
      <c r="O36" s="18">
        <f>SUM(O26:O35)</f>
        <v>3.5</v>
      </c>
      <c r="P36" s="17"/>
      <c r="Q36" s="17"/>
      <c r="R36" s="18">
        <f>SUM(R26:R35)</f>
        <v>7.5</v>
      </c>
    </row>
    <row r="37" spans="2:18">
      <c r="B37" s="149" t="s">
        <v>146</v>
      </c>
      <c r="C37" s="138" t="s">
        <v>9</v>
      </c>
      <c r="D37" s="364" t="s">
        <v>67</v>
      </c>
      <c r="E37" s="365"/>
      <c r="F37" s="52">
        <v>0.5</v>
      </c>
      <c r="G37" s="264" t="s">
        <v>67</v>
      </c>
      <c r="H37" s="153"/>
      <c r="I37" s="6">
        <v>0.5</v>
      </c>
      <c r="J37" s="264" t="s">
        <v>67</v>
      </c>
      <c r="K37" s="153"/>
      <c r="L37" s="6">
        <v>0.5</v>
      </c>
      <c r="M37" s="156" t="s">
        <v>67</v>
      </c>
      <c r="N37" s="153"/>
      <c r="O37" s="6">
        <v>0.5</v>
      </c>
      <c r="P37" s="264" t="s">
        <v>67</v>
      </c>
      <c r="Q37" s="153"/>
      <c r="R37" s="6">
        <v>0.5</v>
      </c>
    </row>
    <row r="38" spans="2:18">
      <c r="B38" s="150"/>
      <c r="C38" s="139"/>
      <c r="D38" s="154" t="s">
        <v>33</v>
      </c>
      <c r="E38" s="155"/>
      <c r="F38" s="7">
        <v>0.5</v>
      </c>
      <c r="G38" s="154" t="s">
        <v>195</v>
      </c>
      <c r="H38" s="155"/>
      <c r="I38" s="16">
        <v>2.5</v>
      </c>
      <c r="J38" s="154" t="s">
        <v>195</v>
      </c>
      <c r="K38" s="155"/>
      <c r="L38" s="16">
        <v>2.5</v>
      </c>
      <c r="M38" s="154" t="s">
        <v>199</v>
      </c>
      <c r="N38" s="155"/>
      <c r="O38" s="16">
        <v>2.5</v>
      </c>
      <c r="P38" s="154" t="s">
        <v>199</v>
      </c>
      <c r="Q38" s="155"/>
      <c r="R38" s="16">
        <v>2.5</v>
      </c>
    </row>
    <row r="39" spans="2:18">
      <c r="B39" s="150"/>
      <c r="C39" s="139"/>
      <c r="D39" s="154" t="s">
        <v>164</v>
      </c>
      <c r="E39" s="155"/>
      <c r="F39" s="16">
        <v>2</v>
      </c>
      <c r="G39" s="157"/>
      <c r="H39" s="155"/>
      <c r="I39" s="7"/>
      <c r="J39" s="157"/>
      <c r="K39" s="155"/>
      <c r="L39" s="7"/>
      <c r="M39" s="154"/>
      <c r="N39" s="155"/>
      <c r="O39" s="7"/>
      <c r="P39" s="157"/>
      <c r="Q39" s="155"/>
      <c r="R39" s="7"/>
    </row>
    <row r="40" spans="2:18">
      <c r="B40" s="150"/>
      <c r="C40" s="139"/>
      <c r="D40" s="300"/>
      <c r="E40" s="155"/>
      <c r="F40" s="7"/>
      <c r="G40" s="154"/>
      <c r="H40" s="155"/>
      <c r="I40" s="7"/>
      <c r="J40" s="154"/>
      <c r="K40" s="155"/>
      <c r="L40" s="7"/>
      <c r="M40" s="154"/>
      <c r="N40" s="155"/>
      <c r="O40" s="7"/>
      <c r="P40" s="154"/>
      <c r="Q40" s="155"/>
      <c r="R40" s="7"/>
    </row>
    <row r="41" spans="2:18" ht="19.5" thickBot="1">
      <c r="B41" s="150"/>
      <c r="C41" s="140"/>
      <c r="D41" s="160"/>
      <c r="E41" s="159"/>
      <c r="F41" s="9"/>
      <c r="G41" s="161"/>
      <c r="H41" s="159"/>
      <c r="I41" s="9"/>
      <c r="J41" s="217"/>
      <c r="K41" s="218"/>
      <c r="L41" s="34"/>
      <c r="M41" s="161"/>
      <c r="N41" s="159"/>
      <c r="O41" s="9"/>
      <c r="P41" s="217"/>
      <c r="Q41" s="218"/>
      <c r="R41" s="34"/>
    </row>
    <row r="42" spans="2:18">
      <c r="B42" s="150"/>
      <c r="C42" s="138" t="s">
        <v>20</v>
      </c>
      <c r="D42" s="154" t="s">
        <v>164</v>
      </c>
      <c r="E42" s="155"/>
      <c r="F42" s="16">
        <v>4.25</v>
      </c>
      <c r="G42" s="154" t="s">
        <v>195</v>
      </c>
      <c r="H42" s="155"/>
      <c r="I42" s="16">
        <v>4.25</v>
      </c>
      <c r="J42" s="154" t="s">
        <v>195</v>
      </c>
      <c r="K42" s="155"/>
      <c r="L42" s="16">
        <v>4.25</v>
      </c>
      <c r="M42" s="154" t="s">
        <v>199</v>
      </c>
      <c r="N42" s="155"/>
      <c r="O42" s="16">
        <v>4.25</v>
      </c>
      <c r="P42" s="154" t="s">
        <v>199</v>
      </c>
      <c r="Q42" s="155"/>
      <c r="R42" s="16">
        <v>4.25</v>
      </c>
    </row>
    <row r="43" spans="2:18">
      <c r="B43" s="150"/>
      <c r="C43" s="139"/>
      <c r="D43" s="154"/>
      <c r="E43" s="155"/>
      <c r="F43" s="7"/>
      <c r="G43" s="157"/>
      <c r="H43" s="155"/>
      <c r="I43" s="7"/>
      <c r="J43" s="157"/>
      <c r="K43" s="155"/>
      <c r="L43" s="7"/>
      <c r="M43" s="154" t="s">
        <v>63</v>
      </c>
      <c r="N43" s="155"/>
      <c r="O43" s="7">
        <v>0.5</v>
      </c>
      <c r="P43" s="157"/>
      <c r="Q43" s="155"/>
      <c r="R43" s="7"/>
    </row>
    <row r="44" spans="2:18">
      <c r="B44" s="150"/>
      <c r="C44" s="139"/>
      <c r="D44" s="157"/>
      <c r="E44" s="155"/>
      <c r="F44" s="7"/>
      <c r="G44" s="154"/>
      <c r="H44" s="155"/>
      <c r="I44" s="7"/>
      <c r="J44" s="154"/>
      <c r="K44" s="155"/>
      <c r="L44" s="7"/>
      <c r="M44" s="157"/>
      <c r="N44" s="155"/>
      <c r="O44" s="16"/>
      <c r="P44" s="154"/>
      <c r="Q44" s="155"/>
      <c r="R44" s="7"/>
    </row>
    <row r="45" spans="2:18">
      <c r="B45" s="150"/>
      <c r="C45" s="139"/>
      <c r="D45" s="157"/>
      <c r="E45" s="155"/>
      <c r="F45" s="7"/>
      <c r="G45" s="154"/>
      <c r="H45" s="155"/>
      <c r="I45" s="7"/>
      <c r="J45" s="157"/>
      <c r="K45" s="155"/>
      <c r="L45" s="36"/>
      <c r="M45" s="157"/>
      <c r="N45" s="155"/>
      <c r="O45" s="7"/>
      <c r="P45" s="157"/>
      <c r="Q45" s="155"/>
      <c r="R45" s="36"/>
    </row>
    <row r="46" spans="2:18" ht="19.5" thickBot="1">
      <c r="B46" s="150"/>
      <c r="C46" s="140"/>
      <c r="D46" s="329" t="s">
        <v>200</v>
      </c>
      <c r="E46" s="287"/>
      <c r="F46" s="45">
        <v>0.5</v>
      </c>
      <c r="G46" s="329" t="s">
        <v>200</v>
      </c>
      <c r="H46" s="287"/>
      <c r="I46" s="45">
        <v>0.5</v>
      </c>
      <c r="J46" s="329" t="s">
        <v>200</v>
      </c>
      <c r="K46" s="287"/>
      <c r="L46" s="45">
        <v>0.5</v>
      </c>
      <c r="M46" s="329" t="s">
        <v>200</v>
      </c>
      <c r="N46" s="287"/>
      <c r="O46" s="45">
        <v>0.5</v>
      </c>
      <c r="P46" s="329" t="s">
        <v>200</v>
      </c>
      <c r="Q46" s="287"/>
      <c r="R46" s="45">
        <v>0.5</v>
      </c>
    </row>
    <row r="47" spans="2:18" ht="19.5" thickBot="1">
      <c r="B47" s="151"/>
      <c r="C47" s="18" t="s">
        <v>76</v>
      </c>
      <c r="D47" s="17"/>
      <c r="E47" s="17"/>
      <c r="F47" s="18">
        <f>SUM(F37:F46)</f>
        <v>7.75</v>
      </c>
      <c r="G47" s="17"/>
      <c r="H47" s="17"/>
      <c r="I47" s="18">
        <f>SUM(I37:I46)</f>
        <v>7.75</v>
      </c>
      <c r="J47" s="17"/>
      <c r="K47" s="17"/>
      <c r="L47" s="18">
        <f>SUM(L37:L46)</f>
        <v>7.75</v>
      </c>
      <c r="M47" s="17"/>
      <c r="N47" s="17"/>
      <c r="O47" s="18">
        <f>SUM(O37:O46)</f>
        <v>8.25</v>
      </c>
      <c r="P47" s="17"/>
      <c r="Q47" s="17"/>
      <c r="R47" s="18">
        <f>SUM(R37:R46)</f>
        <v>7.75</v>
      </c>
    </row>
    <row r="49" spans="2:6">
      <c r="B49" s="294" t="s">
        <v>182</v>
      </c>
      <c r="C49" s="295"/>
      <c r="D49" s="49" t="s">
        <v>183</v>
      </c>
      <c r="E49" s="296" t="s">
        <v>184</v>
      </c>
      <c r="F49" s="296"/>
    </row>
  </sheetData>
  <mergeCells count="226">
    <mergeCell ref="G1:M1"/>
    <mergeCell ref="B2:C3"/>
    <mergeCell ref="D2:D3"/>
    <mergeCell ref="E2:E3"/>
    <mergeCell ref="F2:F3"/>
    <mergeCell ref="G2:G3"/>
    <mergeCell ref="H2:H3"/>
    <mergeCell ref="I2:I3"/>
    <mergeCell ref="J9:K9"/>
    <mergeCell ref="G4:I13"/>
    <mergeCell ref="J8:K8"/>
    <mergeCell ref="M8:N8"/>
    <mergeCell ref="P2:P3"/>
    <mergeCell ref="Q2:Q3"/>
    <mergeCell ref="R2:R3"/>
    <mergeCell ref="B4:B14"/>
    <mergeCell ref="C4:C8"/>
    <mergeCell ref="D4:E4"/>
    <mergeCell ref="J4:K4"/>
    <mergeCell ref="M4:N4"/>
    <mergeCell ref="P4:Q4"/>
    <mergeCell ref="J2:J3"/>
    <mergeCell ref="K2:K3"/>
    <mergeCell ref="L2:L3"/>
    <mergeCell ref="M2:M3"/>
    <mergeCell ref="N2:N3"/>
    <mergeCell ref="O2:O3"/>
    <mergeCell ref="J10:K10"/>
    <mergeCell ref="J11:K11"/>
    <mergeCell ref="J12:K12"/>
    <mergeCell ref="J13:K13"/>
    <mergeCell ref="D6:E6"/>
    <mergeCell ref="J6:K6"/>
    <mergeCell ref="M6:N6"/>
    <mergeCell ref="P6:Q6"/>
    <mergeCell ref="D8:E8"/>
    <mergeCell ref="S6:T6"/>
    <mergeCell ref="S4:T4"/>
    <mergeCell ref="D5:E5"/>
    <mergeCell ref="J5:K5"/>
    <mergeCell ref="M5:N5"/>
    <mergeCell ref="P5:Q5"/>
    <mergeCell ref="S5:T5"/>
    <mergeCell ref="D7:E7"/>
    <mergeCell ref="J7:K7"/>
    <mergeCell ref="M7:N7"/>
    <mergeCell ref="P7:Q7"/>
    <mergeCell ref="P8:Q8"/>
    <mergeCell ref="S8:T8"/>
    <mergeCell ref="C9:C13"/>
    <mergeCell ref="D9:E9"/>
    <mergeCell ref="M9:N9"/>
    <mergeCell ref="P9:Q9"/>
    <mergeCell ref="D10:E10"/>
    <mergeCell ref="S11:T11"/>
    <mergeCell ref="D12:E12"/>
    <mergeCell ref="M12:N12"/>
    <mergeCell ref="P12:Q12"/>
    <mergeCell ref="S12:T12"/>
    <mergeCell ref="M10:N10"/>
    <mergeCell ref="P10:Q10"/>
    <mergeCell ref="D11:E11"/>
    <mergeCell ref="M11:N11"/>
    <mergeCell ref="P11:Q11"/>
    <mergeCell ref="D13:E13"/>
    <mergeCell ref="M13:N13"/>
    <mergeCell ref="P13:Q13"/>
    <mergeCell ref="S13:T13"/>
    <mergeCell ref="B15:B25"/>
    <mergeCell ref="C15:C19"/>
    <mergeCell ref="D15:E15"/>
    <mergeCell ref="G15:H15"/>
    <mergeCell ref="J15:K15"/>
    <mergeCell ref="P20:R24"/>
    <mergeCell ref="P17:Q17"/>
    <mergeCell ref="D18:E18"/>
    <mergeCell ref="G18:H18"/>
    <mergeCell ref="J18:K18"/>
    <mergeCell ref="M18:N18"/>
    <mergeCell ref="P18:Q18"/>
    <mergeCell ref="M15:N15"/>
    <mergeCell ref="P15:Q15"/>
    <mergeCell ref="D16:E16"/>
    <mergeCell ref="G16:H16"/>
    <mergeCell ref="J16:K16"/>
    <mergeCell ref="M16:N16"/>
    <mergeCell ref="P16:Q16"/>
    <mergeCell ref="C20:C24"/>
    <mergeCell ref="D20:E20"/>
    <mergeCell ref="G20:H20"/>
    <mergeCell ref="J20:K20"/>
    <mergeCell ref="M20:N20"/>
    <mergeCell ref="D17:E17"/>
    <mergeCell ref="G17:H17"/>
    <mergeCell ref="J17:K17"/>
    <mergeCell ref="M17:N17"/>
    <mergeCell ref="D21:E21"/>
    <mergeCell ref="G21:H21"/>
    <mergeCell ref="J21:K21"/>
    <mergeCell ref="M21:N21"/>
    <mergeCell ref="D19:E19"/>
    <mergeCell ref="G19:H19"/>
    <mergeCell ref="J19:K19"/>
    <mergeCell ref="M19:N19"/>
    <mergeCell ref="D24:E24"/>
    <mergeCell ref="G24:H24"/>
    <mergeCell ref="J24:K24"/>
    <mergeCell ref="M24:N24"/>
    <mergeCell ref="D26:E26"/>
    <mergeCell ref="G26:H26"/>
    <mergeCell ref="J26:K26"/>
    <mergeCell ref="P19:Q19"/>
    <mergeCell ref="D22:E22"/>
    <mergeCell ref="G22:H22"/>
    <mergeCell ref="J22:K22"/>
    <mergeCell ref="M22:N22"/>
    <mergeCell ref="D23:E23"/>
    <mergeCell ref="G23:H23"/>
    <mergeCell ref="J23:K23"/>
    <mergeCell ref="M23:N23"/>
    <mergeCell ref="D29:E29"/>
    <mergeCell ref="G29:H29"/>
    <mergeCell ref="J29:K29"/>
    <mergeCell ref="M29:N29"/>
    <mergeCell ref="P29:Q29"/>
    <mergeCell ref="M26:N26"/>
    <mergeCell ref="P26:Q26"/>
    <mergeCell ref="D27:E27"/>
    <mergeCell ref="G27:H27"/>
    <mergeCell ref="J27:K27"/>
    <mergeCell ref="M27:N27"/>
    <mergeCell ref="P27:Q27"/>
    <mergeCell ref="P30:Q30"/>
    <mergeCell ref="C31:C35"/>
    <mergeCell ref="D31:E31"/>
    <mergeCell ref="G31:H31"/>
    <mergeCell ref="J31:K31"/>
    <mergeCell ref="M31:N31"/>
    <mergeCell ref="C26:C30"/>
    <mergeCell ref="P33:Q33"/>
    <mergeCell ref="D34:E34"/>
    <mergeCell ref="G34:H34"/>
    <mergeCell ref="J34:K34"/>
    <mergeCell ref="M34:N34"/>
    <mergeCell ref="P34:Q34"/>
    <mergeCell ref="P31:Q31"/>
    <mergeCell ref="D32:E32"/>
    <mergeCell ref="G32:H32"/>
    <mergeCell ref="J32:K32"/>
    <mergeCell ref="M32:N32"/>
    <mergeCell ref="P32:Q32"/>
    <mergeCell ref="D28:E28"/>
    <mergeCell ref="G28:H28"/>
    <mergeCell ref="J28:K28"/>
    <mergeCell ref="M28:N28"/>
    <mergeCell ref="P28:Q28"/>
    <mergeCell ref="B37:B47"/>
    <mergeCell ref="C37:C41"/>
    <mergeCell ref="D37:E37"/>
    <mergeCell ref="G37:H37"/>
    <mergeCell ref="J37:K37"/>
    <mergeCell ref="D33:E33"/>
    <mergeCell ref="G33:H33"/>
    <mergeCell ref="J33:K33"/>
    <mergeCell ref="M33:N33"/>
    <mergeCell ref="B26:B36"/>
    <mergeCell ref="M37:N37"/>
    <mergeCell ref="D39:E39"/>
    <mergeCell ref="G39:H39"/>
    <mergeCell ref="J39:K39"/>
    <mergeCell ref="M39:N39"/>
    <mergeCell ref="C42:C46"/>
    <mergeCell ref="D42:E42"/>
    <mergeCell ref="G42:H42"/>
    <mergeCell ref="J42:K42"/>
    <mergeCell ref="M42:N42"/>
    <mergeCell ref="D30:E30"/>
    <mergeCell ref="G30:H30"/>
    <mergeCell ref="J30:K30"/>
    <mergeCell ref="M30:N30"/>
    <mergeCell ref="P37:Q37"/>
    <mergeCell ref="D38:E38"/>
    <mergeCell ref="G38:H38"/>
    <mergeCell ref="J38:K38"/>
    <mergeCell ref="M38:N38"/>
    <mergeCell ref="P38:Q38"/>
    <mergeCell ref="D35:E35"/>
    <mergeCell ref="G35:H35"/>
    <mergeCell ref="J35:K35"/>
    <mergeCell ref="M35:N35"/>
    <mergeCell ref="P35:Q35"/>
    <mergeCell ref="P39:Q39"/>
    <mergeCell ref="D40:E40"/>
    <mergeCell ref="G40:H40"/>
    <mergeCell ref="J40:K40"/>
    <mergeCell ref="M40:N40"/>
    <mergeCell ref="P40:Q40"/>
    <mergeCell ref="D41:E41"/>
    <mergeCell ref="G41:H41"/>
    <mergeCell ref="J41:K41"/>
    <mergeCell ref="M41:N41"/>
    <mergeCell ref="P41:Q41"/>
    <mergeCell ref="B49:C49"/>
    <mergeCell ref="E49:F49"/>
    <mergeCell ref="D46:E46"/>
    <mergeCell ref="G46:H46"/>
    <mergeCell ref="J46:K46"/>
    <mergeCell ref="M46:N46"/>
    <mergeCell ref="P46:Q46"/>
    <mergeCell ref="P1:Q1"/>
    <mergeCell ref="D44:E44"/>
    <mergeCell ref="G44:H44"/>
    <mergeCell ref="J44:K44"/>
    <mergeCell ref="M44:N44"/>
    <mergeCell ref="P44:Q44"/>
    <mergeCell ref="D45:E45"/>
    <mergeCell ref="G45:H45"/>
    <mergeCell ref="J45:K45"/>
    <mergeCell ref="M45:N45"/>
    <mergeCell ref="P45:Q45"/>
    <mergeCell ref="P42:Q42"/>
    <mergeCell ref="D43:E43"/>
    <mergeCell ref="G43:H43"/>
    <mergeCell ref="J43:K43"/>
    <mergeCell ref="M43:N43"/>
    <mergeCell ref="P43:Q43"/>
  </mergeCells>
  <phoneticPr fontId="1"/>
  <pageMargins left="0.7" right="0.7" top="0.75" bottom="0.75" header="0.3" footer="0.3"/>
  <pageSetup paperSize="8" scale="67" orientation="landscape" horizontalDpi="1200" verticalDpi="1200" r:id="rId1"/>
  <ignoredErrors>
    <ignoredError sqref="D2" unlockedFormula="1"/>
  </ignoredErrors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A0D0-6465-4B6C-8F0A-716D701D48EF}">
  <sheetPr codeName="Sheet9"/>
  <dimension ref="B1:T47"/>
  <sheetViews>
    <sheetView view="pageBreakPreview" zoomScaleNormal="100" zoomScaleSheetLayoutView="100" workbookViewId="0">
      <selection activeCell="R44" sqref="R44"/>
    </sheetView>
  </sheetViews>
  <sheetFormatPr defaultRowHeight="18.75"/>
  <cols>
    <col min="1" max="1" width="2.5" customWidth="1"/>
    <col min="4" max="18" width="16" customWidth="1"/>
  </cols>
  <sheetData>
    <row r="1" spans="2:20" ht="24.75" thickBot="1">
      <c r="C1" s="448">
        <v>45478</v>
      </c>
      <c r="D1" s="448"/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449" t="s">
        <v>2</v>
      </c>
      <c r="Q1" s="449"/>
      <c r="R1" s="449"/>
    </row>
    <row r="2" spans="2:20" s="5" customFormat="1">
      <c r="B2" s="201"/>
      <c r="C2" s="202"/>
      <c r="D2" s="450">
        <v>29</v>
      </c>
      <c r="E2" s="195" t="s">
        <v>3</v>
      </c>
      <c r="F2" s="191" t="s">
        <v>4</v>
      </c>
      <c r="G2" s="438">
        <f>D2+1</f>
        <v>30</v>
      </c>
      <c r="H2" s="195" t="s">
        <v>5</v>
      </c>
      <c r="I2" s="191" t="s">
        <v>4</v>
      </c>
      <c r="J2" s="438">
        <f>G2+1</f>
        <v>31</v>
      </c>
      <c r="K2" s="195" t="s">
        <v>6</v>
      </c>
      <c r="L2" s="191" t="s">
        <v>4</v>
      </c>
      <c r="M2" s="438">
        <v>1</v>
      </c>
      <c r="N2" s="195" t="s">
        <v>7</v>
      </c>
      <c r="O2" s="191" t="s">
        <v>4</v>
      </c>
      <c r="P2" s="438">
        <f t="shared" ref="P2" si="0">M2+1</f>
        <v>2</v>
      </c>
      <c r="Q2" s="195" t="s">
        <v>8</v>
      </c>
      <c r="R2" s="191" t="s">
        <v>4</v>
      </c>
    </row>
    <row r="3" spans="2:20" ht="19.5" thickBot="1">
      <c r="B3" s="203"/>
      <c r="C3" s="204"/>
      <c r="D3" s="451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20" ht="18.75" customHeight="1">
      <c r="B4" s="303" t="s">
        <v>31</v>
      </c>
      <c r="C4" s="138" t="s">
        <v>9</v>
      </c>
      <c r="D4" s="264" t="s">
        <v>67</v>
      </c>
      <c r="E4" s="153"/>
      <c r="F4" s="6">
        <v>0.5</v>
      </c>
      <c r="G4" s="264" t="s">
        <v>67</v>
      </c>
      <c r="H4" s="153"/>
      <c r="I4" s="6">
        <v>0.5</v>
      </c>
      <c r="J4" s="264" t="s">
        <v>67</v>
      </c>
      <c r="K4" s="153"/>
      <c r="L4" s="6">
        <v>0.5</v>
      </c>
      <c r="M4" s="264" t="s">
        <v>67</v>
      </c>
      <c r="N4" s="153"/>
      <c r="O4" s="6">
        <v>0.5</v>
      </c>
      <c r="P4" s="264" t="s">
        <v>67</v>
      </c>
      <c r="Q4" s="153"/>
      <c r="R4" s="6">
        <v>0.5</v>
      </c>
      <c r="S4" s="211"/>
      <c r="T4" s="211"/>
    </row>
    <row r="5" spans="2:20">
      <c r="B5" s="304"/>
      <c r="C5" s="139"/>
      <c r="D5" s="157" t="s">
        <v>71</v>
      </c>
      <c r="E5" s="155"/>
      <c r="F5" s="7">
        <v>0.1</v>
      </c>
      <c r="G5" s="157" t="s">
        <v>71</v>
      </c>
      <c r="H5" s="155"/>
      <c r="I5" s="7">
        <v>0.1</v>
      </c>
      <c r="J5" s="157" t="s">
        <v>71</v>
      </c>
      <c r="K5" s="155"/>
      <c r="L5" s="7">
        <v>0.1</v>
      </c>
      <c r="M5" s="157" t="s">
        <v>71</v>
      </c>
      <c r="N5" s="155"/>
      <c r="O5" s="7">
        <v>0.1</v>
      </c>
      <c r="P5" s="157" t="s">
        <v>71</v>
      </c>
      <c r="Q5" s="155"/>
      <c r="R5" s="7">
        <v>0.1</v>
      </c>
      <c r="S5" s="211"/>
      <c r="T5" s="211"/>
    </row>
    <row r="6" spans="2:20">
      <c r="B6" s="304"/>
      <c r="C6" s="139"/>
      <c r="D6" s="300" t="s">
        <v>70</v>
      </c>
      <c r="E6" s="155"/>
      <c r="F6" s="7">
        <v>0.1</v>
      </c>
      <c r="G6" s="418" t="s">
        <v>84</v>
      </c>
      <c r="H6" s="419"/>
      <c r="I6" s="15">
        <v>2.4</v>
      </c>
      <c r="J6" s="418" t="s">
        <v>84</v>
      </c>
      <c r="K6" s="419"/>
      <c r="L6" s="15">
        <v>2.4</v>
      </c>
      <c r="M6" s="418" t="s">
        <v>84</v>
      </c>
      <c r="N6" s="419"/>
      <c r="O6" s="15">
        <v>2.4</v>
      </c>
      <c r="P6" s="157" t="s">
        <v>66</v>
      </c>
      <c r="Q6" s="136"/>
      <c r="R6" s="7">
        <v>0.75</v>
      </c>
      <c r="S6" s="212"/>
      <c r="T6" s="212"/>
    </row>
    <row r="7" spans="2:20">
      <c r="B7" s="304"/>
      <c r="C7" s="139"/>
      <c r="D7" s="436" t="s">
        <v>112</v>
      </c>
      <c r="E7" s="437"/>
      <c r="F7" s="15">
        <v>0.5</v>
      </c>
      <c r="G7" s="154"/>
      <c r="H7" s="155"/>
      <c r="I7" s="16"/>
      <c r="J7" s="154"/>
      <c r="K7" s="155"/>
      <c r="L7" s="7"/>
      <c r="M7" s="154"/>
      <c r="N7" s="155"/>
      <c r="O7" s="7"/>
      <c r="P7" s="154"/>
      <c r="Q7" s="155"/>
      <c r="R7" s="7"/>
      <c r="S7" s="8"/>
      <c r="T7" s="8"/>
    </row>
    <row r="8" spans="2:20" ht="19.5" thickBot="1">
      <c r="B8" s="304"/>
      <c r="C8" s="140"/>
      <c r="D8" s="160" t="s">
        <v>149</v>
      </c>
      <c r="E8" s="159"/>
      <c r="F8" s="9"/>
      <c r="G8" s="161"/>
      <c r="H8" s="159"/>
      <c r="I8" s="9"/>
      <c r="J8" s="160"/>
      <c r="K8" s="159"/>
      <c r="L8" s="9"/>
      <c r="M8" s="160"/>
      <c r="N8" s="159"/>
      <c r="O8" s="9"/>
      <c r="P8" s="161"/>
      <c r="Q8" s="159"/>
      <c r="R8" s="9"/>
      <c r="S8" s="214"/>
      <c r="T8" s="214"/>
    </row>
    <row r="9" spans="2:20">
      <c r="B9" s="304"/>
      <c r="C9" s="138" t="s">
        <v>20</v>
      </c>
      <c r="D9" s="418" t="s">
        <v>129</v>
      </c>
      <c r="E9" s="419"/>
      <c r="F9" s="15">
        <v>4.5</v>
      </c>
      <c r="G9" s="418" t="s">
        <v>129</v>
      </c>
      <c r="H9" s="419"/>
      <c r="I9" s="15">
        <v>4.5</v>
      </c>
      <c r="J9" s="439" t="s">
        <v>165</v>
      </c>
      <c r="K9" s="440"/>
      <c r="L9" s="445">
        <v>5</v>
      </c>
      <c r="M9" s="418" t="s">
        <v>83</v>
      </c>
      <c r="N9" s="419"/>
      <c r="O9" s="15">
        <v>3.55</v>
      </c>
      <c r="P9" s="418" t="s">
        <v>82</v>
      </c>
      <c r="Q9" s="419"/>
      <c r="R9" s="15">
        <v>0.5</v>
      </c>
      <c r="S9" s="11"/>
      <c r="T9" s="11"/>
    </row>
    <row r="10" spans="2:20">
      <c r="B10" s="304"/>
      <c r="C10" s="139"/>
      <c r="D10" s="154"/>
      <c r="E10" s="155"/>
      <c r="F10" s="7"/>
      <c r="G10" s="154"/>
      <c r="H10" s="155"/>
      <c r="I10" s="7"/>
      <c r="J10" s="441"/>
      <c r="K10" s="442"/>
      <c r="L10" s="446"/>
      <c r="M10" s="154" t="s">
        <v>72</v>
      </c>
      <c r="N10" s="155"/>
      <c r="O10" s="7">
        <v>0.1</v>
      </c>
      <c r="P10" s="418" t="s">
        <v>84</v>
      </c>
      <c r="Q10" s="419"/>
      <c r="R10" s="15">
        <v>5.65</v>
      </c>
      <c r="S10" s="11"/>
      <c r="T10" s="11"/>
    </row>
    <row r="11" spans="2:20">
      <c r="B11" s="304"/>
      <c r="C11" s="139"/>
      <c r="D11" s="300"/>
      <c r="E11" s="155"/>
      <c r="F11" s="7"/>
      <c r="G11" s="154"/>
      <c r="H11" s="155"/>
      <c r="I11" s="7"/>
      <c r="J11" s="441"/>
      <c r="K11" s="442"/>
      <c r="L11" s="446"/>
      <c r="M11" s="154" t="s">
        <v>69</v>
      </c>
      <c r="N11" s="155"/>
      <c r="O11" s="7">
        <v>0.1</v>
      </c>
      <c r="P11" s="154"/>
      <c r="Q11" s="155"/>
      <c r="R11" s="7"/>
      <c r="S11" s="215"/>
      <c r="T11" s="215"/>
    </row>
    <row r="12" spans="2:20">
      <c r="B12" s="304"/>
      <c r="C12" s="139"/>
      <c r="D12" s="300"/>
      <c r="E12" s="155"/>
      <c r="F12" s="7"/>
      <c r="G12" s="154"/>
      <c r="H12" s="155"/>
      <c r="I12" s="7"/>
      <c r="J12" s="441"/>
      <c r="K12" s="442"/>
      <c r="L12" s="446"/>
      <c r="M12" s="154" t="s">
        <v>73</v>
      </c>
      <c r="N12" s="155"/>
      <c r="O12" s="7">
        <v>0.75</v>
      </c>
      <c r="P12" s="154"/>
      <c r="Q12" s="155"/>
      <c r="R12" s="7"/>
      <c r="S12" s="214"/>
      <c r="T12" s="214"/>
    </row>
    <row r="13" spans="2:20" ht="19.5" thickBot="1">
      <c r="B13" s="304"/>
      <c r="C13" s="140"/>
      <c r="D13" s="160" t="s">
        <v>68</v>
      </c>
      <c r="E13" s="159"/>
      <c r="F13" s="9">
        <v>0.25</v>
      </c>
      <c r="G13" s="160" t="s">
        <v>68</v>
      </c>
      <c r="H13" s="159"/>
      <c r="I13" s="9">
        <v>0.25</v>
      </c>
      <c r="J13" s="443"/>
      <c r="K13" s="444"/>
      <c r="L13" s="447"/>
      <c r="M13" s="160" t="s">
        <v>68</v>
      </c>
      <c r="N13" s="159"/>
      <c r="O13" s="9">
        <v>0.25</v>
      </c>
      <c r="P13" s="160" t="s">
        <v>68</v>
      </c>
      <c r="Q13" s="159"/>
      <c r="R13" s="9">
        <v>0.25</v>
      </c>
      <c r="S13" s="215"/>
      <c r="T13" s="215"/>
    </row>
    <row r="14" spans="2:20" ht="19.5" thickBot="1">
      <c r="B14" s="305"/>
      <c r="C14" s="18" t="s">
        <v>76</v>
      </c>
      <c r="D14" s="17"/>
      <c r="E14" s="17"/>
      <c r="F14" s="18">
        <f>SUM(F4:F13)</f>
        <v>5.95</v>
      </c>
      <c r="G14" s="17"/>
      <c r="H14" s="17"/>
      <c r="I14" s="18">
        <f>SUM(I4:I13)</f>
        <v>7.75</v>
      </c>
      <c r="J14" s="17"/>
      <c r="K14" s="17"/>
      <c r="L14" s="18">
        <f>SUM(L4:L13)</f>
        <v>8</v>
      </c>
      <c r="M14" s="17"/>
      <c r="N14" s="17"/>
      <c r="O14" s="18">
        <f>SUM(O4:O13)</f>
        <v>7.7499999999999991</v>
      </c>
      <c r="P14" s="17"/>
      <c r="Q14" s="17"/>
      <c r="R14" s="18">
        <f>SUM(R4:R13)</f>
        <v>7.75</v>
      </c>
    </row>
    <row r="15" spans="2:20" ht="18.75" customHeight="1">
      <c r="B15" s="149" t="s">
        <v>32</v>
      </c>
      <c r="C15" s="138" t="s">
        <v>9</v>
      </c>
      <c r="D15" s="293" t="s">
        <v>10</v>
      </c>
      <c r="E15" s="220"/>
      <c r="F15" s="21">
        <v>0.5</v>
      </c>
      <c r="G15" s="293" t="s">
        <v>10</v>
      </c>
      <c r="H15" s="220"/>
      <c r="I15" s="21">
        <v>0.5</v>
      </c>
      <c r="J15" s="219" t="s">
        <v>10</v>
      </c>
      <c r="K15" s="220"/>
      <c r="L15" s="21">
        <v>0.5</v>
      </c>
      <c r="M15" s="293" t="s">
        <v>10</v>
      </c>
      <c r="N15" s="220"/>
      <c r="O15" s="21">
        <v>0.5</v>
      </c>
      <c r="P15" s="219" t="s">
        <v>10</v>
      </c>
      <c r="Q15" s="220"/>
      <c r="R15" s="21">
        <v>0.5</v>
      </c>
    </row>
    <row r="16" spans="2:20">
      <c r="B16" s="150"/>
      <c r="C16" s="139"/>
      <c r="D16" s="162" t="s">
        <v>11</v>
      </c>
      <c r="E16" s="163"/>
      <c r="F16" s="20">
        <v>0.2</v>
      </c>
      <c r="G16" s="162" t="s">
        <v>11</v>
      </c>
      <c r="H16" s="163"/>
      <c r="I16" s="20">
        <v>0.2</v>
      </c>
      <c r="J16" s="216" t="s">
        <v>11</v>
      </c>
      <c r="K16" s="163"/>
      <c r="L16" s="20">
        <v>0.2</v>
      </c>
      <c r="M16" s="162" t="s">
        <v>11</v>
      </c>
      <c r="N16" s="163"/>
      <c r="O16" s="20">
        <v>0.2</v>
      </c>
      <c r="P16" s="216" t="s">
        <v>11</v>
      </c>
      <c r="Q16" s="163"/>
      <c r="R16" s="20">
        <v>0.2</v>
      </c>
    </row>
    <row r="17" spans="2:18">
      <c r="B17" s="150"/>
      <c r="C17" s="139"/>
      <c r="D17" s="157" t="s">
        <v>134</v>
      </c>
      <c r="E17" s="155"/>
      <c r="F17" s="7">
        <v>2.8</v>
      </c>
      <c r="G17" s="157" t="s">
        <v>135</v>
      </c>
      <c r="H17" s="155"/>
      <c r="I17" s="7">
        <v>2.8</v>
      </c>
      <c r="J17" s="157" t="s">
        <v>135</v>
      </c>
      <c r="K17" s="155"/>
      <c r="L17" s="7">
        <v>2.8</v>
      </c>
      <c r="M17" s="157" t="s">
        <v>135</v>
      </c>
      <c r="N17" s="155"/>
      <c r="O17" s="7">
        <v>2.8</v>
      </c>
      <c r="P17" s="216" t="s">
        <v>16</v>
      </c>
      <c r="Q17" s="163"/>
      <c r="R17" s="20">
        <v>0.5</v>
      </c>
    </row>
    <row r="18" spans="2:18">
      <c r="B18" s="150"/>
      <c r="C18" s="139"/>
      <c r="D18" s="300"/>
      <c r="E18" s="155"/>
      <c r="F18" s="7"/>
      <c r="G18" s="154"/>
      <c r="H18" s="155"/>
      <c r="I18" s="7"/>
      <c r="J18" s="154"/>
      <c r="K18" s="155"/>
      <c r="L18" s="7"/>
      <c r="M18" s="154"/>
      <c r="N18" s="155"/>
      <c r="O18" s="7"/>
      <c r="P18" s="154" t="s">
        <v>135</v>
      </c>
      <c r="Q18" s="155"/>
      <c r="R18" s="7">
        <v>2.2999999999999998</v>
      </c>
    </row>
    <row r="19" spans="2:18" ht="19.5" thickBot="1">
      <c r="B19" s="150"/>
      <c r="C19" s="140"/>
      <c r="D19" s="160"/>
      <c r="E19" s="159"/>
      <c r="F19" s="9"/>
      <c r="G19" s="161"/>
      <c r="H19" s="159"/>
      <c r="I19" s="9"/>
      <c r="J19" s="217"/>
      <c r="K19" s="218"/>
      <c r="L19" s="34"/>
      <c r="M19" s="161"/>
      <c r="N19" s="159"/>
      <c r="O19" s="9"/>
      <c r="P19" s="434" t="s">
        <v>145</v>
      </c>
      <c r="Q19" s="435"/>
      <c r="R19" s="10" t="s">
        <v>144</v>
      </c>
    </row>
    <row r="20" spans="2:18">
      <c r="B20" s="150"/>
      <c r="C20" s="138" t="s">
        <v>20</v>
      </c>
      <c r="D20" s="154" t="s">
        <v>136</v>
      </c>
      <c r="E20" s="155"/>
      <c r="F20" s="7">
        <v>2.5</v>
      </c>
      <c r="G20" s="154" t="s">
        <v>137</v>
      </c>
      <c r="H20" s="155"/>
      <c r="I20" s="7">
        <v>2</v>
      </c>
      <c r="J20" s="154" t="s">
        <v>137</v>
      </c>
      <c r="K20" s="155"/>
      <c r="L20" s="7">
        <v>2</v>
      </c>
      <c r="M20" s="154" t="s">
        <v>138</v>
      </c>
      <c r="N20" s="155"/>
      <c r="O20" s="7">
        <v>2.5</v>
      </c>
      <c r="P20" s="267" t="s">
        <v>139</v>
      </c>
      <c r="Q20" s="268"/>
      <c r="R20" s="43">
        <v>3</v>
      </c>
    </row>
    <row r="21" spans="2:18">
      <c r="B21" s="150"/>
      <c r="C21" s="139"/>
      <c r="D21" s="154" t="s">
        <v>140</v>
      </c>
      <c r="E21" s="155"/>
      <c r="F21" s="7">
        <v>1</v>
      </c>
      <c r="G21" s="157" t="s">
        <v>141</v>
      </c>
      <c r="H21" s="155"/>
      <c r="I21" s="7">
        <v>0.5</v>
      </c>
      <c r="J21" s="157" t="s">
        <v>141</v>
      </c>
      <c r="K21" s="155"/>
      <c r="L21" s="7">
        <v>0.5</v>
      </c>
      <c r="M21" s="157" t="s">
        <v>141</v>
      </c>
      <c r="N21" s="155"/>
      <c r="O21" s="7">
        <v>0.5</v>
      </c>
      <c r="P21" s="157" t="s">
        <v>141</v>
      </c>
      <c r="Q21" s="155"/>
      <c r="R21" s="7">
        <v>0.5</v>
      </c>
    </row>
    <row r="22" spans="2:18">
      <c r="B22" s="150"/>
      <c r="C22" s="139"/>
      <c r="D22" s="157"/>
      <c r="E22" s="155"/>
      <c r="F22" s="7"/>
      <c r="G22" s="154" t="s">
        <v>142</v>
      </c>
      <c r="H22" s="155"/>
      <c r="I22" s="7">
        <v>1</v>
      </c>
      <c r="J22" s="154" t="s">
        <v>143</v>
      </c>
      <c r="K22" s="155"/>
      <c r="L22" s="7">
        <v>1</v>
      </c>
      <c r="M22" s="432" t="s">
        <v>145</v>
      </c>
      <c r="N22" s="433"/>
      <c r="O22" s="27" t="s">
        <v>144</v>
      </c>
      <c r="P22" s="157"/>
      <c r="Q22" s="155"/>
      <c r="R22" s="7"/>
    </row>
    <row r="23" spans="2:18">
      <c r="B23" s="150"/>
      <c r="C23" s="139"/>
      <c r="D23" s="157"/>
      <c r="E23" s="155"/>
      <c r="F23" s="7"/>
      <c r="G23" s="154"/>
      <c r="H23" s="155"/>
      <c r="I23" s="7"/>
      <c r="J23" s="157"/>
      <c r="K23" s="155"/>
      <c r="L23" s="44"/>
      <c r="M23" s="216" t="s">
        <v>24</v>
      </c>
      <c r="N23" s="163"/>
      <c r="O23" s="20">
        <v>0.5</v>
      </c>
      <c r="P23" s="154"/>
      <c r="Q23" s="155"/>
      <c r="R23" s="7"/>
    </row>
    <row r="24" spans="2:18" ht="19.5" thickBot="1">
      <c r="B24" s="150"/>
      <c r="C24" s="140"/>
      <c r="D24" s="329" t="s">
        <v>30</v>
      </c>
      <c r="E24" s="287"/>
      <c r="F24" s="45">
        <v>0.75</v>
      </c>
      <c r="G24" s="329" t="s">
        <v>30</v>
      </c>
      <c r="H24" s="287"/>
      <c r="I24" s="45">
        <v>0.75</v>
      </c>
      <c r="J24" s="329" t="s">
        <v>30</v>
      </c>
      <c r="K24" s="287"/>
      <c r="L24" s="45">
        <v>0.75</v>
      </c>
      <c r="M24" s="329" t="s">
        <v>30</v>
      </c>
      <c r="N24" s="287"/>
      <c r="O24" s="45">
        <v>0.75</v>
      </c>
      <c r="P24" s="329" t="s">
        <v>30</v>
      </c>
      <c r="Q24" s="287"/>
      <c r="R24" s="45">
        <v>0.75</v>
      </c>
    </row>
    <row r="25" spans="2:18" ht="19.5" thickBot="1">
      <c r="B25" s="151"/>
      <c r="C25" s="18" t="s">
        <v>76</v>
      </c>
      <c r="D25" s="17"/>
      <c r="E25" s="17"/>
      <c r="F25" s="18">
        <f>SUM(F15:F24)</f>
        <v>7.75</v>
      </c>
      <c r="G25" s="17"/>
      <c r="H25" s="17"/>
      <c r="I25" s="18">
        <f>SUM(I15:I24)</f>
        <v>7.75</v>
      </c>
      <c r="J25" s="17"/>
      <c r="K25" s="17"/>
      <c r="L25" s="18">
        <f>SUM(L15:L24)</f>
        <v>7.75</v>
      </c>
      <c r="M25" s="17"/>
      <c r="N25" s="17"/>
      <c r="O25" s="18">
        <f>SUM(O15:O24)</f>
        <v>7.75</v>
      </c>
      <c r="P25" s="17"/>
      <c r="Q25" s="17"/>
      <c r="R25" s="18">
        <f>SUM(R15:R24)</f>
        <v>7.75</v>
      </c>
    </row>
    <row r="26" spans="2:18" ht="18.75" customHeight="1">
      <c r="B26" s="149" t="s">
        <v>65</v>
      </c>
      <c r="C26" s="138" t="s">
        <v>9</v>
      </c>
      <c r="D26" s="152" t="s">
        <v>33</v>
      </c>
      <c r="E26" s="153"/>
      <c r="F26" s="6">
        <v>0.5</v>
      </c>
      <c r="G26" s="154"/>
      <c r="H26" s="155"/>
      <c r="I26" s="6"/>
      <c r="J26" s="154" t="s">
        <v>35</v>
      </c>
      <c r="K26" s="155"/>
      <c r="L26" s="6" t="s">
        <v>36</v>
      </c>
      <c r="M26" s="154" t="s">
        <v>35</v>
      </c>
      <c r="N26" s="155"/>
      <c r="O26" s="6" t="s">
        <v>36</v>
      </c>
      <c r="P26" s="156" t="s">
        <v>37</v>
      </c>
      <c r="Q26" s="153"/>
      <c r="R26" s="6">
        <v>0.5</v>
      </c>
    </row>
    <row r="27" spans="2:18">
      <c r="B27" s="150"/>
      <c r="C27" s="139"/>
      <c r="D27" s="157" t="s">
        <v>39</v>
      </c>
      <c r="E27" s="155"/>
      <c r="F27" s="7">
        <v>2.5</v>
      </c>
      <c r="G27" s="422" t="s">
        <v>150</v>
      </c>
      <c r="H27" s="423"/>
      <c r="I27" s="37">
        <v>5</v>
      </c>
      <c r="J27" s="422" t="s">
        <v>151</v>
      </c>
      <c r="K27" s="423"/>
      <c r="L27" s="37">
        <v>5</v>
      </c>
      <c r="M27" s="154" t="s">
        <v>152</v>
      </c>
      <c r="N27" s="155"/>
      <c r="O27" s="7">
        <v>0.5</v>
      </c>
      <c r="P27" s="422" t="s">
        <v>153</v>
      </c>
      <c r="Q27" s="423"/>
      <c r="R27" s="37">
        <v>6</v>
      </c>
    </row>
    <row r="28" spans="2:18">
      <c r="B28" s="150"/>
      <c r="C28" s="139"/>
      <c r="D28" s="157"/>
      <c r="E28" s="155"/>
      <c r="F28" s="7"/>
      <c r="G28" s="430" t="s">
        <v>117</v>
      </c>
      <c r="H28" s="431"/>
      <c r="I28" s="38" t="s">
        <v>36</v>
      </c>
      <c r="J28" s="430" t="s">
        <v>117</v>
      </c>
      <c r="K28" s="431"/>
      <c r="L28" s="38" t="s">
        <v>36</v>
      </c>
      <c r="M28" s="311" t="s">
        <v>45</v>
      </c>
      <c r="N28" s="222"/>
      <c r="O28" s="24">
        <v>2.5</v>
      </c>
      <c r="P28" s="430" t="s">
        <v>117</v>
      </c>
      <c r="Q28" s="431"/>
      <c r="R28" s="38" t="s">
        <v>36</v>
      </c>
    </row>
    <row r="29" spans="2:18">
      <c r="B29" s="150"/>
      <c r="C29" s="139"/>
      <c r="D29" s="157"/>
      <c r="E29" s="155"/>
      <c r="F29" s="7"/>
      <c r="G29" s="430" t="s">
        <v>118</v>
      </c>
      <c r="H29" s="431"/>
      <c r="I29" s="39" t="s">
        <v>36</v>
      </c>
      <c r="J29" s="430" t="s">
        <v>118</v>
      </c>
      <c r="K29" s="431"/>
      <c r="L29" s="39" t="s">
        <v>36</v>
      </c>
      <c r="M29" s="154" t="s">
        <v>48</v>
      </c>
      <c r="N29" s="155"/>
      <c r="O29" s="7">
        <v>0.5</v>
      </c>
      <c r="P29" s="430" t="s">
        <v>118</v>
      </c>
      <c r="Q29" s="431"/>
      <c r="R29" s="39" t="s">
        <v>36</v>
      </c>
    </row>
    <row r="30" spans="2:18" ht="19.5" thickBot="1">
      <c r="B30" s="150"/>
      <c r="C30" s="140"/>
      <c r="D30" s="158"/>
      <c r="E30" s="159"/>
      <c r="F30" s="9"/>
      <c r="G30" s="428" t="s">
        <v>45</v>
      </c>
      <c r="H30" s="429"/>
      <c r="I30" s="40" t="s">
        <v>36</v>
      </c>
      <c r="J30" s="428" t="s">
        <v>45</v>
      </c>
      <c r="K30" s="429"/>
      <c r="L30" s="40" t="s">
        <v>36</v>
      </c>
      <c r="M30" s="161"/>
      <c r="N30" s="159"/>
      <c r="O30" s="9"/>
      <c r="P30" s="428" t="s">
        <v>45</v>
      </c>
      <c r="Q30" s="429"/>
      <c r="R30" s="40" t="s">
        <v>36</v>
      </c>
    </row>
    <row r="31" spans="2:18">
      <c r="B31" s="150"/>
      <c r="C31" s="138" t="s">
        <v>20</v>
      </c>
      <c r="D31" s="156" t="s">
        <v>154</v>
      </c>
      <c r="E31" s="153"/>
      <c r="F31" s="6">
        <v>1</v>
      </c>
      <c r="G31" s="426" t="s">
        <v>54</v>
      </c>
      <c r="H31" s="427"/>
      <c r="I31" s="46" t="s">
        <v>36</v>
      </c>
      <c r="J31" s="426" t="s">
        <v>54</v>
      </c>
      <c r="K31" s="427"/>
      <c r="L31" s="46" t="s">
        <v>36</v>
      </c>
      <c r="M31" s="156" t="s">
        <v>162</v>
      </c>
      <c r="N31" s="153"/>
      <c r="O31" s="42">
        <v>0.5</v>
      </c>
      <c r="P31" s="426" t="s">
        <v>54</v>
      </c>
      <c r="Q31" s="427"/>
      <c r="R31" s="46" t="s">
        <v>36</v>
      </c>
    </row>
    <row r="32" spans="2:18">
      <c r="B32" s="150"/>
      <c r="C32" s="139"/>
      <c r="D32" s="154" t="s">
        <v>155</v>
      </c>
      <c r="E32" s="155"/>
      <c r="F32" s="7">
        <v>0.5</v>
      </c>
      <c r="G32" s="422" t="s">
        <v>59</v>
      </c>
      <c r="H32" s="423"/>
      <c r="I32" s="37" t="s">
        <v>102</v>
      </c>
      <c r="J32" s="422" t="s">
        <v>59</v>
      </c>
      <c r="K32" s="423"/>
      <c r="L32" s="37" t="s">
        <v>102</v>
      </c>
      <c r="M32" s="154" t="s">
        <v>163</v>
      </c>
      <c r="N32" s="155"/>
      <c r="O32" s="12" t="s">
        <v>36</v>
      </c>
      <c r="P32" s="422" t="s">
        <v>59</v>
      </c>
      <c r="Q32" s="423"/>
      <c r="R32" s="37" t="s">
        <v>102</v>
      </c>
    </row>
    <row r="33" spans="2:18">
      <c r="B33" s="150"/>
      <c r="C33" s="139"/>
      <c r="D33" s="154" t="s">
        <v>160</v>
      </c>
      <c r="E33" s="155"/>
      <c r="F33" s="41">
        <v>1</v>
      </c>
      <c r="G33" s="422" t="s">
        <v>48</v>
      </c>
      <c r="H33" s="423"/>
      <c r="I33" s="37">
        <v>0.5</v>
      </c>
      <c r="J33" s="422" t="s">
        <v>48</v>
      </c>
      <c r="K33" s="423"/>
      <c r="L33" s="37">
        <v>1</v>
      </c>
      <c r="M33" s="424" t="s">
        <v>156</v>
      </c>
      <c r="N33" s="425"/>
      <c r="O33" s="27">
        <v>0.5</v>
      </c>
      <c r="P33" s="422" t="s">
        <v>48</v>
      </c>
      <c r="Q33" s="423"/>
      <c r="R33" s="37" t="s">
        <v>102</v>
      </c>
    </row>
    <row r="34" spans="2:18">
      <c r="B34" s="150"/>
      <c r="C34" s="139"/>
      <c r="D34" s="154" t="s">
        <v>161</v>
      </c>
      <c r="E34" s="155"/>
      <c r="F34" s="41">
        <v>1</v>
      </c>
      <c r="G34" s="311"/>
      <c r="H34" s="222"/>
      <c r="I34" s="24"/>
      <c r="J34" s="311" t="s">
        <v>157</v>
      </c>
      <c r="K34" s="222"/>
      <c r="L34" s="24">
        <v>0.5</v>
      </c>
      <c r="M34" s="154"/>
      <c r="N34" s="155"/>
      <c r="O34" s="7"/>
      <c r="P34" s="154" t="s">
        <v>64</v>
      </c>
      <c r="Q34" s="155"/>
      <c r="R34" s="7">
        <v>0.5</v>
      </c>
    </row>
    <row r="35" spans="2:18" ht="19.5" thickBot="1">
      <c r="B35" s="150"/>
      <c r="C35" s="140"/>
      <c r="D35" s="161"/>
      <c r="E35" s="159"/>
      <c r="F35" s="9"/>
      <c r="G35" s="161"/>
      <c r="H35" s="159"/>
      <c r="I35" s="9"/>
      <c r="J35" s="161"/>
      <c r="K35" s="159"/>
      <c r="L35" s="9"/>
      <c r="M35" s="161"/>
      <c r="N35" s="159"/>
      <c r="O35" s="9"/>
      <c r="P35" s="161"/>
      <c r="Q35" s="159"/>
      <c r="R35" s="9"/>
    </row>
    <row r="36" spans="2:18" ht="19.5" thickBot="1">
      <c r="B36" s="151"/>
      <c r="C36" s="18" t="s">
        <v>76</v>
      </c>
      <c r="D36" s="17"/>
      <c r="E36" s="17"/>
      <c r="F36" s="18">
        <f>SUM(F26:F35)</f>
        <v>6.5</v>
      </c>
      <c r="G36" s="17"/>
      <c r="H36" s="17"/>
      <c r="I36" s="18">
        <f>SUM(I26:I35)</f>
        <v>5.5</v>
      </c>
      <c r="J36" s="17"/>
      <c r="K36" s="17"/>
      <c r="L36" s="18">
        <f>SUM(L26:L35)</f>
        <v>6.5</v>
      </c>
      <c r="M36" s="17"/>
      <c r="N36" s="17"/>
      <c r="O36" s="18">
        <f>SUM(O26:O35)</f>
        <v>4.5</v>
      </c>
      <c r="P36" s="17"/>
      <c r="Q36" s="17"/>
      <c r="R36" s="18">
        <f>SUM(R26:R35)</f>
        <v>7</v>
      </c>
    </row>
    <row r="37" spans="2:18">
      <c r="B37" s="149" t="s">
        <v>146</v>
      </c>
      <c r="C37" s="138" t="s">
        <v>9</v>
      </c>
      <c r="D37" s="371"/>
      <c r="E37" s="328"/>
      <c r="F37" s="33"/>
      <c r="G37" s="371"/>
      <c r="H37" s="328"/>
      <c r="I37" s="33"/>
      <c r="J37" s="380"/>
      <c r="K37" s="328"/>
      <c r="L37" s="33"/>
      <c r="M37" s="156" t="s">
        <v>67</v>
      </c>
      <c r="N37" s="153"/>
      <c r="O37" s="6">
        <v>0.5</v>
      </c>
      <c r="P37" s="264" t="s">
        <v>67</v>
      </c>
      <c r="Q37" s="153"/>
      <c r="R37" s="6">
        <v>0.5</v>
      </c>
    </row>
    <row r="38" spans="2:18">
      <c r="B38" s="150"/>
      <c r="C38" s="139"/>
      <c r="D38" s="221"/>
      <c r="E38" s="222"/>
      <c r="F38" s="24"/>
      <c r="G38" s="221"/>
      <c r="H38" s="222"/>
      <c r="I38" s="24"/>
      <c r="J38" s="311"/>
      <c r="K38" s="222"/>
      <c r="L38" s="24"/>
      <c r="M38" s="420" t="s">
        <v>147</v>
      </c>
      <c r="N38" s="421"/>
      <c r="O38" s="47">
        <v>2.5</v>
      </c>
      <c r="P38" s="418" t="s">
        <v>164</v>
      </c>
      <c r="Q38" s="419"/>
      <c r="R38" s="19">
        <v>2.5</v>
      </c>
    </row>
    <row r="39" spans="2:18">
      <c r="B39" s="150"/>
      <c r="C39" s="139"/>
      <c r="D39" s="157"/>
      <c r="E39" s="155"/>
      <c r="F39" s="7"/>
      <c r="G39" s="157"/>
      <c r="H39" s="155"/>
      <c r="I39" s="7"/>
      <c r="J39" s="157"/>
      <c r="K39" s="155"/>
      <c r="L39" s="7"/>
      <c r="M39" s="154"/>
      <c r="N39" s="155"/>
      <c r="O39" s="7"/>
      <c r="P39" s="157"/>
      <c r="Q39" s="155"/>
      <c r="R39" s="7"/>
    </row>
    <row r="40" spans="2:18">
      <c r="B40" s="150"/>
      <c r="C40" s="139"/>
      <c r="D40" s="300"/>
      <c r="E40" s="155"/>
      <c r="F40" s="7"/>
      <c r="G40" s="154"/>
      <c r="H40" s="155"/>
      <c r="I40" s="7"/>
      <c r="J40" s="154"/>
      <c r="K40" s="155"/>
      <c r="L40" s="7"/>
      <c r="M40" s="154"/>
      <c r="N40" s="155"/>
      <c r="O40" s="7"/>
      <c r="P40" s="154"/>
      <c r="Q40" s="155"/>
      <c r="R40" s="7"/>
    </row>
    <row r="41" spans="2:18" ht="19.5" thickBot="1">
      <c r="B41" s="150"/>
      <c r="C41" s="140"/>
      <c r="D41" s="160"/>
      <c r="E41" s="159"/>
      <c r="F41" s="9"/>
      <c r="G41" s="161"/>
      <c r="H41" s="159"/>
      <c r="I41" s="9"/>
      <c r="J41" s="217"/>
      <c r="K41" s="218"/>
      <c r="L41" s="34"/>
      <c r="M41" s="161"/>
      <c r="N41" s="159"/>
      <c r="O41" s="9"/>
      <c r="P41" s="217"/>
      <c r="Q41" s="218"/>
      <c r="R41" s="34"/>
    </row>
    <row r="42" spans="2:18">
      <c r="B42" s="150"/>
      <c r="C42" s="138" t="s">
        <v>20</v>
      </c>
      <c r="D42" s="154"/>
      <c r="E42" s="155"/>
      <c r="F42" s="7"/>
      <c r="G42" s="154"/>
      <c r="H42" s="155"/>
      <c r="I42" s="7"/>
      <c r="J42" s="154"/>
      <c r="K42" s="155"/>
      <c r="L42" s="7"/>
      <c r="M42" s="154" t="s">
        <v>158</v>
      </c>
      <c r="N42" s="155"/>
      <c r="O42" s="16">
        <v>2</v>
      </c>
      <c r="P42" s="418" t="s">
        <v>164</v>
      </c>
      <c r="Q42" s="419"/>
      <c r="R42" s="19">
        <v>4.5</v>
      </c>
    </row>
    <row r="43" spans="2:18">
      <c r="B43" s="150"/>
      <c r="C43" s="139"/>
      <c r="D43" s="154"/>
      <c r="E43" s="155"/>
      <c r="F43" s="7"/>
      <c r="G43" s="157"/>
      <c r="H43" s="155"/>
      <c r="I43" s="7"/>
      <c r="J43" s="157"/>
      <c r="K43" s="155"/>
      <c r="L43" s="7"/>
      <c r="M43" s="154" t="s">
        <v>148</v>
      </c>
      <c r="N43" s="155"/>
      <c r="O43" s="16">
        <v>1</v>
      </c>
      <c r="P43" s="157"/>
      <c r="Q43" s="155"/>
      <c r="R43" s="7"/>
    </row>
    <row r="44" spans="2:18">
      <c r="B44" s="150"/>
      <c r="C44" s="139"/>
      <c r="D44" s="157"/>
      <c r="E44" s="155"/>
      <c r="F44" s="7"/>
      <c r="G44" s="154"/>
      <c r="H44" s="155"/>
      <c r="I44" s="7"/>
      <c r="J44" s="154"/>
      <c r="K44" s="155"/>
      <c r="L44" s="7"/>
      <c r="M44" s="418" t="s">
        <v>164</v>
      </c>
      <c r="N44" s="419"/>
      <c r="O44" s="19">
        <v>1</v>
      </c>
      <c r="P44" s="154"/>
      <c r="Q44" s="155"/>
      <c r="R44" s="7"/>
    </row>
    <row r="45" spans="2:18">
      <c r="B45" s="150"/>
      <c r="C45" s="139"/>
      <c r="D45" s="157"/>
      <c r="E45" s="155"/>
      <c r="F45" s="7"/>
      <c r="G45" s="154"/>
      <c r="H45" s="155"/>
      <c r="I45" s="7"/>
      <c r="J45" s="157"/>
      <c r="K45" s="155"/>
      <c r="L45" s="36"/>
      <c r="M45" s="154" t="s">
        <v>159</v>
      </c>
      <c r="N45" s="155"/>
      <c r="O45" s="7">
        <v>0.5</v>
      </c>
      <c r="P45" s="157"/>
      <c r="Q45" s="155"/>
      <c r="R45" s="36"/>
    </row>
    <row r="46" spans="2:18" ht="19.5" thickBot="1">
      <c r="B46" s="150"/>
      <c r="C46" s="140"/>
      <c r="D46" s="369"/>
      <c r="E46" s="370"/>
      <c r="F46" s="35"/>
      <c r="G46" s="369"/>
      <c r="H46" s="370"/>
      <c r="I46" s="35"/>
      <c r="J46" s="369"/>
      <c r="K46" s="370"/>
      <c r="L46" s="35"/>
      <c r="M46" s="369"/>
      <c r="N46" s="370"/>
      <c r="O46" s="35"/>
      <c r="P46" s="369"/>
      <c r="Q46" s="370"/>
      <c r="R46" s="35"/>
    </row>
    <row r="47" spans="2:18" ht="19.5" thickBot="1">
      <c r="B47" s="151"/>
      <c r="C47" s="18" t="s">
        <v>76</v>
      </c>
      <c r="D47" s="17"/>
      <c r="E47" s="17"/>
      <c r="F47" s="18">
        <f>SUM(F37:F46)</f>
        <v>0</v>
      </c>
      <c r="G47" s="17"/>
      <c r="H47" s="17"/>
      <c r="I47" s="18">
        <f>SUM(I37:I46)</f>
        <v>0</v>
      </c>
      <c r="J47" s="17"/>
      <c r="K47" s="17"/>
      <c r="L47" s="18">
        <f>SUM(L37:L46)</f>
        <v>0</v>
      </c>
      <c r="M47" s="17"/>
      <c r="N47" s="17"/>
      <c r="O47" s="18">
        <f>SUM(O37:O46)</f>
        <v>7.5</v>
      </c>
      <c r="P47" s="17"/>
      <c r="Q47" s="17"/>
      <c r="R47" s="18">
        <f>SUM(R37:R46)</f>
        <v>7.5</v>
      </c>
    </row>
  </sheetData>
  <mergeCells count="235">
    <mergeCell ref="C1:D1"/>
    <mergeCell ref="G1:M1"/>
    <mergeCell ref="P1:R1"/>
    <mergeCell ref="B2:C3"/>
    <mergeCell ref="D2:D3"/>
    <mergeCell ref="E2:E3"/>
    <mergeCell ref="F2:F3"/>
    <mergeCell ref="G2:G3"/>
    <mergeCell ref="H2:H3"/>
    <mergeCell ref="I2:I3"/>
    <mergeCell ref="P2:P3"/>
    <mergeCell ref="Q2:Q3"/>
    <mergeCell ref="R2:R3"/>
    <mergeCell ref="B4:B14"/>
    <mergeCell ref="C4:C8"/>
    <mergeCell ref="D4:E4"/>
    <mergeCell ref="G4:H4"/>
    <mergeCell ref="J4:K4"/>
    <mergeCell ref="M4:N4"/>
    <mergeCell ref="P4:Q4"/>
    <mergeCell ref="J2:J3"/>
    <mergeCell ref="K2:K3"/>
    <mergeCell ref="L2:L3"/>
    <mergeCell ref="M2:M3"/>
    <mergeCell ref="N2:N3"/>
    <mergeCell ref="O2:O3"/>
    <mergeCell ref="J9:K13"/>
    <mergeCell ref="L9:L13"/>
    <mergeCell ref="D6:E6"/>
    <mergeCell ref="G6:H6"/>
    <mergeCell ref="J6:K6"/>
    <mergeCell ref="M6:N6"/>
    <mergeCell ref="P6:Q6"/>
    <mergeCell ref="D8:E8"/>
    <mergeCell ref="G8:H8"/>
    <mergeCell ref="J8:K8"/>
    <mergeCell ref="M8:N8"/>
    <mergeCell ref="S6:T6"/>
    <mergeCell ref="S4:T4"/>
    <mergeCell ref="D5:E5"/>
    <mergeCell ref="G5:H5"/>
    <mergeCell ref="J5:K5"/>
    <mergeCell ref="M5:N5"/>
    <mergeCell ref="P5:Q5"/>
    <mergeCell ref="S5:T5"/>
    <mergeCell ref="D7:E7"/>
    <mergeCell ref="G7:H7"/>
    <mergeCell ref="J7:K7"/>
    <mergeCell ref="M7:N7"/>
    <mergeCell ref="P7:Q7"/>
    <mergeCell ref="P8:Q8"/>
    <mergeCell ref="M10:N10"/>
    <mergeCell ref="P10:Q10"/>
    <mergeCell ref="D11:E11"/>
    <mergeCell ref="G11:H11"/>
    <mergeCell ref="M11:N11"/>
    <mergeCell ref="P11:Q11"/>
    <mergeCell ref="S8:T8"/>
    <mergeCell ref="C9:C13"/>
    <mergeCell ref="D9:E9"/>
    <mergeCell ref="G9:H9"/>
    <mergeCell ref="M9:N9"/>
    <mergeCell ref="P9:Q9"/>
    <mergeCell ref="D10:E10"/>
    <mergeCell ref="G10:H10"/>
    <mergeCell ref="D13:E13"/>
    <mergeCell ref="G13:H13"/>
    <mergeCell ref="M13:N13"/>
    <mergeCell ref="P13:Q13"/>
    <mergeCell ref="S13:T13"/>
    <mergeCell ref="S11:T11"/>
    <mergeCell ref="D12:E12"/>
    <mergeCell ref="G12:H12"/>
    <mergeCell ref="M12:N12"/>
    <mergeCell ref="P12:Q12"/>
    <mergeCell ref="S12:T12"/>
    <mergeCell ref="P15:Q15"/>
    <mergeCell ref="D16:E16"/>
    <mergeCell ref="G16:H16"/>
    <mergeCell ref="J16:K16"/>
    <mergeCell ref="M16:N16"/>
    <mergeCell ref="P16:Q16"/>
    <mergeCell ref="B15:B25"/>
    <mergeCell ref="C15:C19"/>
    <mergeCell ref="D15:E15"/>
    <mergeCell ref="G15:H15"/>
    <mergeCell ref="J15:K15"/>
    <mergeCell ref="M15:N15"/>
    <mergeCell ref="D17:E17"/>
    <mergeCell ref="G17:H17"/>
    <mergeCell ref="J17:K17"/>
    <mergeCell ref="M17:N17"/>
    <mergeCell ref="C20:C24"/>
    <mergeCell ref="D20:E20"/>
    <mergeCell ref="G20:H20"/>
    <mergeCell ref="J20:K20"/>
    <mergeCell ref="M20:N20"/>
    <mergeCell ref="P17:Q17"/>
    <mergeCell ref="D18:E18"/>
    <mergeCell ref="G18:H18"/>
    <mergeCell ref="J18:K18"/>
    <mergeCell ref="M18:N18"/>
    <mergeCell ref="P18:Q18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  <mergeCell ref="M26:N26"/>
    <mergeCell ref="P26:Q26"/>
    <mergeCell ref="D27:E27"/>
    <mergeCell ref="G27:H27"/>
    <mergeCell ref="J27:K27"/>
    <mergeCell ref="M27:N27"/>
    <mergeCell ref="P27:Q27"/>
    <mergeCell ref="D24:E24"/>
    <mergeCell ref="G24:H24"/>
    <mergeCell ref="J24:K24"/>
    <mergeCell ref="M24:N24"/>
    <mergeCell ref="P24:Q24"/>
    <mergeCell ref="D26:E26"/>
    <mergeCell ref="G26:H26"/>
    <mergeCell ref="J26:K26"/>
    <mergeCell ref="D28:E28"/>
    <mergeCell ref="G28:H28"/>
    <mergeCell ref="J28:K28"/>
    <mergeCell ref="M28:N28"/>
    <mergeCell ref="P28:Q28"/>
    <mergeCell ref="D29:E29"/>
    <mergeCell ref="G29:H29"/>
    <mergeCell ref="J29:K29"/>
    <mergeCell ref="M29:N29"/>
    <mergeCell ref="P29:Q29"/>
    <mergeCell ref="P31:Q31"/>
    <mergeCell ref="D32:E32"/>
    <mergeCell ref="G32:H32"/>
    <mergeCell ref="J32:K32"/>
    <mergeCell ref="M32:N32"/>
    <mergeCell ref="P32:Q32"/>
    <mergeCell ref="D30:E30"/>
    <mergeCell ref="G30:H30"/>
    <mergeCell ref="J30:K30"/>
    <mergeCell ref="M30:N30"/>
    <mergeCell ref="P30:Q30"/>
    <mergeCell ref="D31:E31"/>
    <mergeCell ref="G31:H31"/>
    <mergeCell ref="J31:K31"/>
    <mergeCell ref="M31:N31"/>
    <mergeCell ref="D33:E33"/>
    <mergeCell ref="G33:H33"/>
    <mergeCell ref="J33:K33"/>
    <mergeCell ref="M33:N33"/>
    <mergeCell ref="P33:Q33"/>
    <mergeCell ref="D34:E34"/>
    <mergeCell ref="G34:H34"/>
    <mergeCell ref="J34:K34"/>
    <mergeCell ref="M34:N34"/>
    <mergeCell ref="P34:Q34"/>
    <mergeCell ref="D35:E35"/>
    <mergeCell ref="G35:H35"/>
    <mergeCell ref="J35:K35"/>
    <mergeCell ref="M35:N35"/>
    <mergeCell ref="P35:Q35"/>
    <mergeCell ref="B37:B47"/>
    <mergeCell ref="C37:C41"/>
    <mergeCell ref="D37:E37"/>
    <mergeCell ref="G37:H37"/>
    <mergeCell ref="J37:K37"/>
    <mergeCell ref="C31:C35"/>
    <mergeCell ref="B26:B36"/>
    <mergeCell ref="C26:C30"/>
    <mergeCell ref="P39:Q39"/>
    <mergeCell ref="D40:E40"/>
    <mergeCell ref="G40:H40"/>
    <mergeCell ref="J40:K40"/>
    <mergeCell ref="M40:N40"/>
    <mergeCell ref="P40:Q40"/>
    <mergeCell ref="M37:N37"/>
    <mergeCell ref="P37:Q37"/>
    <mergeCell ref="D38:E38"/>
    <mergeCell ref="G38:H38"/>
    <mergeCell ref="J38:K38"/>
    <mergeCell ref="M38:N38"/>
    <mergeCell ref="P38:Q38"/>
    <mergeCell ref="C42:C46"/>
    <mergeCell ref="D42:E42"/>
    <mergeCell ref="G42:H42"/>
    <mergeCell ref="J42:K42"/>
    <mergeCell ref="M42:N42"/>
    <mergeCell ref="D39:E39"/>
    <mergeCell ref="G39:H39"/>
    <mergeCell ref="J39:K39"/>
    <mergeCell ref="M39:N39"/>
    <mergeCell ref="P42:Q42"/>
    <mergeCell ref="D43:E43"/>
    <mergeCell ref="G43:H43"/>
    <mergeCell ref="J43:K43"/>
    <mergeCell ref="M43:N43"/>
    <mergeCell ref="P43:Q43"/>
    <mergeCell ref="D41:E41"/>
    <mergeCell ref="G41:H41"/>
    <mergeCell ref="J41:K41"/>
    <mergeCell ref="M41:N41"/>
    <mergeCell ref="P41:Q41"/>
    <mergeCell ref="D46:E46"/>
    <mergeCell ref="G46:H46"/>
    <mergeCell ref="J46:K46"/>
    <mergeCell ref="M46:N46"/>
    <mergeCell ref="P46:Q46"/>
    <mergeCell ref="D44:E44"/>
    <mergeCell ref="G44:H44"/>
    <mergeCell ref="J44:K44"/>
    <mergeCell ref="M44:N44"/>
    <mergeCell ref="P44:Q44"/>
    <mergeCell ref="D45:E45"/>
    <mergeCell ref="G45:H45"/>
    <mergeCell ref="J45:K45"/>
    <mergeCell ref="M45:N45"/>
    <mergeCell ref="P45:Q45"/>
  </mergeCells>
  <phoneticPr fontId="1"/>
  <pageMargins left="0.7" right="0.7" top="0.75" bottom="0.75" header="0.3" footer="0.3"/>
  <pageSetup paperSize="8" scale="67" orientation="landscape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A9D3-252B-4C9B-AEA5-3364B9B13787}">
  <sheetPr codeName="Sheet10"/>
  <dimension ref="B1:T36"/>
  <sheetViews>
    <sheetView view="pageBreakPreview" topLeftCell="A10" zoomScale="85" zoomScaleNormal="100" zoomScaleSheetLayoutView="85" workbookViewId="0">
      <selection activeCell="R44" sqref="R44"/>
    </sheetView>
  </sheetViews>
  <sheetFormatPr defaultRowHeight="18.75"/>
  <cols>
    <col min="1" max="1" width="2.5" customWidth="1"/>
    <col min="4" max="5" width="11.25" customWidth="1"/>
    <col min="6" max="6" width="8.75" customWidth="1"/>
    <col min="7" max="8" width="11.25" customWidth="1"/>
    <col min="9" max="9" width="8.75" customWidth="1"/>
    <col min="10" max="11" width="11.25" customWidth="1"/>
    <col min="12" max="12" width="8.75" customWidth="1"/>
    <col min="13" max="14" width="11.25" customWidth="1"/>
    <col min="15" max="15" width="8.75" customWidth="1"/>
    <col min="16" max="17" width="11.25" customWidth="1"/>
    <col min="18" max="18" width="8.75" customWidth="1"/>
  </cols>
  <sheetData>
    <row r="1" spans="2:20" ht="24.75" thickBot="1">
      <c r="C1" s="448">
        <v>45478</v>
      </c>
      <c r="D1" s="448"/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449" t="s">
        <v>2</v>
      </c>
      <c r="Q1" s="449"/>
      <c r="R1" s="449"/>
    </row>
    <row r="2" spans="2:20" s="5" customFormat="1">
      <c r="B2" s="201"/>
      <c r="C2" s="202"/>
      <c r="D2" s="450">
        <v>22</v>
      </c>
      <c r="E2" s="195" t="s">
        <v>3</v>
      </c>
      <c r="F2" s="191" t="s">
        <v>4</v>
      </c>
      <c r="G2" s="438">
        <f>D2+1</f>
        <v>23</v>
      </c>
      <c r="H2" s="195" t="s">
        <v>5</v>
      </c>
      <c r="I2" s="191" t="s">
        <v>4</v>
      </c>
      <c r="J2" s="438">
        <f>G2+1</f>
        <v>24</v>
      </c>
      <c r="K2" s="195" t="s">
        <v>6</v>
      </c>
      <c r="L2" s="191" t="s">
        <v>4</v>
      </c>
      <c r="M2" s="438">
        <f t="shared" ref="M2" si="0">J2+1</f>
        <v>25</v>
      </c>
      <c r="N2" s="195" t="s">
        <v>7</v>
      </c>
      <c r="O2" s="191" t="s">
        <v>4</v>
      </c>
      <c r="P2" s="438">
        <f t="shared" ref="P2" si="1">M2+1</f>
        <v>26</v>
      </c>
      <c r="Q2" s="195" t="s">
        <v>8</v>
      </c>
      <c r="R2" s="191" t="s">
        <v>4</v>
      </c>
    </row>
    <row r="3" spans="2:20" ht="19.5" thickBot="1">
      <c r="B3" s="203"/>
      <c r="C3" s="204"/>
      <c r="D3" s="451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20" ht="18.75" customHeight="1">
      <c r="B4" s="303" t="s">
        <v>31</v>
      </c>
      <c r="C4" s="138" t="s">
        <v>9</v>
      </c>
      <c r="D4" s="264" t="s">
        <v>67</v>
      </c>
      <c r="E4" s="153"/>
      <c r="F4" s="6">
        <v>0.5</v>
      </c>
      <c r="G4" s="264" t="s">
        <v>67</v>
      </c>
      <c r="H4" s="153"/>
      <c r="I4" s="6">
        <v>0.5</v>
      </c>
      <c r="J4" s="264" t="s">
        <v>67</v>
      </c>
      <c r="K4" s="153"/>
      <c r="L4" s="6">
        <v>0.5</v>
      </c>
      <c r="M4" s="264" t="s">
        <v>67</v>
      </c>
      <c r="N4" s="153"/>
      <c r="O4" s="6">
        <v>0.5</v>
      </c>
      <c r="P4" s="264" t="s">
        <v>67</v>
      </c>
      <c r="Q4" s="153"/>
      <c r="R4" s="6">
        <v>0.5</v>
      </c>
      <c r="S4" s="211"/>
      <c r="T4" s="211"/>
    </row>
    <row r="5" spans="2:20">
      <c r="B5" s="304"/>
      <c r="C5" s="139"/>
      <c r="D5" s="157" t="s">
        <v>71</v>
      </c>
      <c r="E5" s="155"/>
      <c r="F5" s="7">
        <v>0.1</v>
      </c>
      <c r="G5" s="157" t="s">
        <v>71</v>
      </c>
      <c r="H5" s="155"/>
      <c r="I5" s="7">
        <v>0.1</v>
      </c>
      <c r="J5" s="157" t="s">
        <v>71</v>
      </c>
      <c r="K5" s="155"/>
      <c r="L5" s="7">
        <v>0.1</v>
      </c>
      <c r="M5" s="157" t="s">
        <v>71</v>
      </c>
      <c r="N5" s="155"/>
      <c r="O5" s="7">
        <v>0.1</v>
      </c>
      <c r="P5" s="157" t="s">
        <v>71</v>
      </c>
      <c r="Q5" s="155"/>
      <c r="R5" s="7">
        <v>0.1</v>
      </c>
      <c r="S5" s="211"/>
      <c r="T5" s="211"/>
    </row>
    <row r="6" spans="2:20">
      <c r="B6" s="304"/>
      <c r="C6" s="139"/>
      <c r="D6" s="300" t="s">
        <v>70</v>
      </c>
      <c r="E6" s="155"/>
      <c r="F6" s="7">
        <v>0.1</v>
      </c>
      <c r="G6" s="418" t="s">
        <v>84</v>
      </c>
      <c r="H6" s="419"/>
      <c r="I6" s="15">
        <v>2.4</v>
      </c>
      <c r="J6" s="418" t="s">
        <v>84</v>
      </c>
      <c r="K6" s="419"/>
      <c r="L6" s="15">
        <v>2.4</v>
      </c>
      <c r="M6" s="418" t="s">
        <v>84</v>
      </c>
      <c r="N6" s="419"/>
      <c r="O6" s="15">
        <v>2.4</v>
      </c>
      <c r="P6" s="157" t="s">
        <v>66</v>
      </c>
      <c r="Q6" s="136"/>
      <c r="R6" s="7">
        <v>0.75</v>
      </c>
      <c r="S6" s="212"/>
      <c r="T6" s="212"/>
    </row>
    <row r="7" spans="2:20">
      <c r="B7" s="304"/>
      <c r="C7" s="139"/>
      <c r="D7" s="436" t="s">
        <v>112</v>
      </c>
      <c r="E7" s="437"/>
      <c r="F7" s="15">
        <v>0.5</v>
      </c>
      <c r="G7" s="154"/>
      <c r="H7" s="155"/>
      <c r="I7" s="16"/>
      <c r="J7" s="154"/>
      <c r="K7" s="155"/>
      <c r="L7" s="7"/>
      <c r="M7" s="154"/>
      <c r="N7" s="155"/>
      <c r="O7" s="7"/>
      <c r="P7" s="154"/>
      <c r="Q7" s="155"/>
      <c r="R7" s="7"/>
      <c r="S7" s="8"/>
      <c r="T7" s="8"/>
    </row>
    <row r="8" spans="2:20" ht="19.5" thickBot="1">
      <c r="B8" s="304"/>
      <c r="C8" s="140"/>
      <c r="D8" s="160" t="s">
        <v>111</v>
      </c>
      <c r="E8" s="159"/>
      <c r="F8" s="9">
        <v>1.8</v>
      </c>
      <c r="G8" s="161"/>
      <c r="H8" s="159"/>
      <c r="I8" s="9"/>
      <c r="J8" s="160"/>
      <c r="K8" s="159"/>
      <c r="L8" s="9"/>
      <c r="M8" s="160"/>
      <c r="N8" s="159"/>
      <c r="O8" s="9"/>
      <c r="P8" s="161"/>
      <c r="Q8" s="159"/>
      <c r="R8" s="9"/>
      <c r="S8" s="214"/>
      <c r="T8" s="214"/>
    </row>
    <row r="9" spans="2:20">
      <c r="B9" s="304"/>
      <c r="C9" s="138" t="s">
        <v>20</v>
      </c>
      <c r="D9" s="418" t="s">
        <v>129</v>
      </c>
      <c r="E9" s="419"/>
      <c r="F9" s="15">
        <v>4.5</v>
      </c>
      <c r="G9" s="418" t="s">
        <v>129</v>
      </c>
      <c r="H9" s="419"/>
      <c r="I9" s="15">
        <v>4.5</v>
      </c>
      <c r="J9" s="418" t="s">
        <v>83</v>
      </c>
      <c r="K9" s="419"/>
      <c r="L9" s="15">
        <v>4.5</v>
      </c>
      <c r="M9" s="418" t="s">
        <v>83</v>
      </c>
      <c r="N9" s="419"/>
      <c r="O9" s="15">
        <v>3.55</v>
      </c>
      <c r="P9" s="418" t="s">
        <v>82</v>
      </c>
      <c r="Q9" s="419"/>
      <c r="R9" s="15">
        <v>0.5</v>
      </c>
      <c r="S9" s="11"/>
      <c r="T9" s="11"/>
    </row>
    <row r="10" spans="2:20">
      <c r="B10" s="304"/>
      <c r="C10" s="139"/>
      <c r="D10" s="154" t="s">
        <v>130</v>
      </c>
      <c r="E10" s="155"/>
      <c r="F10" s="7"/>
      <c r="G10" s="154"/>
      <c r="H10" s="155"/>
      <c r="I10" s="7"/>
      <c r="J10" s="154"/>
      <c r="K10" s="155"/>
      <c r="L10" s="7"/>
      <c r="M10" s="154" t="s">
        <v>72</v>
      </c>
      <c r="N10" s="155"/>
      <c r="O10" s="7">
        <v>0.1</v>
      </c>
      <c r="P10" s="418" t="s">
        <v>84</v>
      </c>
      <c r="Q10" s="419"/>
      <c r="R10" s="15">
        <v>5.65</v>
      </c>
      <c r="S10" s="11"/>
      <c r="T10" s="11"/>
    </row>
    <row r="11" spans="2:20">
      <c r="B11" s="304"/>
      <c r="C11" s="139"/>
      <c r="D11" s="300" t="s">
        <v>131</v>
      </c>
      <c r="E11" s="155"/>
      <c r="F11" s="7"/>
      <c r="G11" s="154"/>
      <c r="H11" s="155"/>
      <c r="I11" s="7"/>
      <c r="J11" s="154"/>
      <c r="K11" s="155"/>
      <c r="L11" s="7"/>
      <c r="M11" s="154" t="s">
        <v>69</v>
      </c>
      <c r="N11" s="155"/>
      <c r="O11" s="7">
        <v>0.1</v>
      </c>
      <c r="P11" s="154"/>
      <c r="Q11" s="155"/>
      <c r="R11" s="7"/>
      <c r="S11" s="215"/>
      <c r="T11" s="215"/>
    </row>
    <row r="12" spans="2:20">
      <c r="B12" s="304"/>
      <c r="C12" s="139"/>
      <c r="D12" s="300"/>
      <c r="E12" s="155"/>
      <c r="F12" s="7"/>
      <c r="G12" s="154" t="s">
        <v>133</v>
      </c>
      <c r="H12" s="155"/>
      <c r="I12" s="7"/>
      <c r="J12" s="154"/>
      <c r="K12" s="155"/>
      <c r="L12" s="7"/>
      <c r="M12" s="154" t="s">
        <v>73</v>
      </c>
      <c r="N12" s="155"/>
      <c r="O12" s="7">
        <v>0.75</v>
      </c>
      <c r="P12" s="154"/>
      <c r="Q12" s="155"/>
      <c r="R12" s="7"/>
      <c r="S12" s="214"/>
      <c r="T12" s="214"/>
    </row>
    <row r="13" spans="2:20" ht="19.5" thickBot="1">
      <c r="B13" s="304"/>
      <c r="C13" s="140"/>
      <c r="D13" s="160" t="s">
        <v>68</v>
      </c>
      <c r="E13" s="159"/>
      <c r="F13" s="9">
        <v>0.25</v>
      </c>
      <c r="G13" s="160" t="s">
        <v>68</v>
      </c>
      <c r="H13" s="159"/>
      <c r="I13" s="9">
        <v>0.25</v>
      </c>
      <c r="J13" s="160" t="s">
        <v>68</v>
      </c>
      <c r="K13" s="159"/>
      <c r="L13" s="9">
        <v>0.25</v>
      </c>
      <c r="M13" s="160" t="s">
        <v>68</v>
      </c>
      <c r="N13" s="159"/>
      <c r="O13" s="9">
        <v>0.25</v>
      </c>
      <c r="P13" s="160" t="s">
        <v>68</v>
      </c>
      <c r="Q13" s="159"/>
      <c r="R13" s="9">
        <v>0.25</v>
      </c>
      <c r="S13" s="215"/>
      <c r="T13" s="215"/>
    </row>
    <row r="14" spans="2:20" ht="19.5" thickBot="1">
      <c r="B14" s="305"/>
      <c r="C14" s="18" t="s">
        <v>76</v>
      </c>
      <c r="D14" s="17"/>
      <c r="E14" s="17"/>
      <c r="F14" s="18">
        <f>SUM(F4:F13)</f>
        <v>7.75</v>
      </c>
      <c r="G14" s="17"/>
      <c r="H14" s="17"/>
      <c r="I14" s="18">
        <f>SUM(I4:I13)</f>
        <v>7.75</v>
      </c>
      <c r="J14" s="17"/>
      <c r="K14" s="17"/>
      <c r="L14" s="18">
        <f>SUM(L4:L13)</f>
        <v>7.75</v>
      </c>
      <c r="M14" s="17"/>
      <c r="N14" s="17"/>
      <c r="O14" s="18">
        <f>SUM(O4:O13)</f>
        <v>7.7499999999999991</v>
      </c>
      <c r="P14" s="17"/>
      <c r="Q14" s="17"/>
      <c r="R14" s="18">
        <f>SUM(R4:R13)</f>
        <v>7.75</v>
      </c>
    </row>
    <row r="15" spans="2:20" ht="18.75" customHeight="1">
      <c r="B15" s="149" t="s">
        <v>32</v>
      </c>
      <c r="C15" s="138" t="s">
        <v>9</v>
      </c>
      <c r="D15" s="371" t="s">
        <v>10</v>
      </c>
      <c r="E15" s="328"/>
      <c r="F15" s="33">
        <v>0.5</v>
      </c>
      <c r="G15" s="371" t="s">
        <v>10</v>
      </c>
      <c r="H15" s="328"/>
      <c r="I15" s="33">
        <v>0.5</v>
      </c>
      <c r="J15" s="380" t="s">
        <v>10</v>
      </c>
      <c r="K15" s="328"/>
      <c r="L15" s="33">
        <v>0.5</v>
      </c>
      <c r="M15" s="371" t="s">
        <v>10</v>
      </c>
      <c r="N15" s="328"/>
      <c r="O15" s="33">
        <v>0.5</v>
      </c>
      <c r="P15" s="371" t="s">
        <v>10</v>
      </c>
      <c r="Q15" s="328"/>
      <c r="R15" s="33">
        <v>0.5</v>
      </c>
    </row>
    <row r="16" spans="2:20">
      <c r="B16" s="150"/>
      <c r="C16" s="139"/>
      <c r="D16" s="221" t="s">
        <v>11</v>
      </c>
      <c r="E16" s="222"/>
      <c r="F16" s="24">
        <v>0.2</v>
      </c>
      <c r="G16" s="221" t="s">
        <v>11</v>
      </c>
      <c r="H16" s="222"/>
      <c r="I16" s="24">
        <v>0.2</v>
      </c>
      <c r="J16" s="311" t="s">
        <v>11</v>
      </c>
      <c r="K16" s="222"/>
      <c r="L16" s="24">
        <v>0.2</v>
      </c>
      <c r="M16" s="221" t="s">
        <v>11</v>
      </c>
      <c r="N16" s="222"/>
      <c r="O16" s="24">
        <v>0.2</v>
      </c>
      <c r="P16" s="221" t="s">
        <v>11</v>
      </c>
      <c r="Q16" s="222"/>
      <c r="R16" s="24">
        <v>0.2</v>
      </c>
    </row>
    <row r="17" spans="2:18">
      <c r="B17" s="150"/>
      <c r="C17" s="139"/>
      <c r="D17" s="436" t="s">
        <v>124</v>
      </c>
      <c r="E17" s="419"/>
      <c r="F17" s="15">
        <v>2.8</v>
      </c>
      <c r="G17" s="436" t="s">
        <v>124</v>
      </c>
      <c r="H17" s="419"/>
      <c r="I17" s="15">
        <v>2.8</v>
      </c>
      <c r="J17" s="436" t="s">
        <v>124</v>
      </c>
      <c r="K17" s="419"/>
      <c r="L17" s="7">
        <v>2.8</v>
      </c>
      <c r="M17" s="436" t="s">
        <v>124</v>
      </c>
      <c r="N17" s="419"/>
      <c r="O17" s="15">
        <v>2.8</v>
      </c>
      <c r="P17" s="221" t="s">
        <v>16</v>
      </c>
      <c r="Q17" s="222"/>
      <c r="R17" s="24">
        <v>0.5</v>
      </c>
    </row>
    <row r="18" spans="2:18">
      <c r="B18" s="150"/>
      <c r="C18" s="139"/>
      <c r="D18" s="300" t="s">
        <v>132</v>
      </c>
      <c r="E18" s="155"/>
      <c r="F18" s="7"/>
      <c r="G18" s="154"/>
      <c r="H18" s="155"/>
      <c r="I18" s="7"/>
      <c r="J18" s="154"/>
      <c r="K18" s="155"/>
      <c r="L18" s="7"/>
      <c r="M18" s="154"/>
      <c r="N18" s="155"/>
      <c r="O18" s="7"/>
      <c r="P18" s="436" t="s">
        <v>124</v>
      </c>
      <c r="Q18" s="419"/>
      <c r="R18" s="15">
        <v>2.2999999999999998</v>
      </c>
    </row>
    <row r="19" spans="2:18" ht="19.5" thickBot="1">
      <c r="B19" s="150"/>
      <c r="C19" s="140"/>
      <c r="D19" s="160"/>
      <c r="E19" s="159"/>
      <c r="F19" s="9"/>
      <c r="G19" s="161"/>
      <c r="H19" s="159"/>
      <c r="I19" s="9"/>
      <c r="J19" s="217"/>
      <c r="K19" s="218"/>
      <c r="L19" s="34"/>
      <c r="M19" s="161"/>
      <c r="N19" s="159"/>
      <c r="O19" s="9"/>
      <c r="P19" s="161"/>
      <c r="Q19" s="159"/>
      <c r="R19" s="9"/>
    </row>
    <row r="20" spans="2:18">
      <c r="B20" s="150"/>
      <c r="C20" s="138" t="s">
        <v>20</v>
      </c>
      <c r="D20" s="418" t="s">
        <v>125</v>
      </c>
      <c r="E20" s="419"/>
      <c r="F20" s="15">
        <v>0.5</v>
      </c>
      <c r="G20" s="418" t="s">
        <v>126</v>
      </c>
      <c r="H20" s="419"/>
      <c r="I20" s="15">
        <v>1</v>
      </c>
      <c r="J20" s="452" t="s">
        <v>127</v>
      </c>
      <c r="K20" s="453"/>
      <c r="L20" s="15">
        <v>3</v>
      </c>
      <c r="M20" s="452" t="s">
        <v>98</v>
      </c>
      <c r="N20" s="453"/>
      <c r="O20" s="15">
        <v>2.5</v>
      </c>
      <c r="P20" s="418" t="s">
        <v>95</v>
      </c>
      <c r="Q20" s="419"/>
      <c r="R20" s="15">
        <v>3</v>
      </c>
    </row>
    <row r="21" spans="2:18">
      <c r="B21" s="150"/>
      <c r="C21" s="139"/>
      <c r="D21" s="418" t="s">
        <v>94</v>
      </c>
      <c r="E21" s="419"/>
      <c r="F21" s="15">
        <v>2.5</v>
      </c>
      <c r="G21" s="418" t="s">
        <v>94</v>
      </c>
      <c r="H21" s="419"/>
      <c r="I21" s="15">
        <v>2</v>
      </c>
      <c r="J21" s="436" t="s">
        <v>128</v>
      </c>
      <c r="K21" s="419"/>
      <c r="L21" s="15">
        <v>0.5</v>
      </c>
      <c r="M21" s="436" t="s">
        <v>128</v>
      </c>
      <c r="N21" s="419"/>
      <c r="O21" s="15">
        <v>0.5</v>
      </c>
      <c r="P21" s="436" t="s">
        <v>128</v>
      </c>
      <c r="Q21" s="419"/>
      <c r="R21" s="15">
        <v>0.5</v>
      </c>
    </row>
    <row r="22" spans="2:18">
      <c r="B22" s="150"/>
      <c r="C22" s="139"/>
      <c r="D22" s="436" t="s">
        <v>128</v>
      </c>
      <c r="E22" s="419"/>
      <c r="F22" s="15">
        <v>0.5</v>
      </c>
      <c r="G22" s="436" t="s">
        <v>128</v>
      </c>
      <c r="H22" s="419"/>
      <c r="I22" s="15">
        <v>0.5</v>
      </c>
      <c r="J22" s="157"/>
      <c r="K22" s="155"/>
      <c r="L22" s="7"/>
      <c r="M22" s="157"/>
      <c r="N22" s="155"/>
      <c r="O22" s="7"/>
      <c r="P22" s="157"/>
      <c r="Q22" s="155"/>
      <c r="R22" s="7"/>
    </row>
    <row r="23" spans="2:18">
      <c r="B23" s="150"/>
      <c r="C23" s="139"/>
      <c r="D23" s="300"/>
      <c r="E23" s="155"/>
      <c r="F23" s="7"/>
      <c r="G23" s="154"/>
      <c r="H23" s="155"/>
      <c r="I23" s="7"/>
      <c r="J23" s="154"/>
      <c r="K23" s="155"/>
      <c r="L23" s="7"/>
      <c r="M23" s="311" t="s">
        <v>24</v>
      </c>
      <c r="N23" s="222"/>
      <c r="O23" s="24">
        <v>0.5</v>
      </c>
      <c r="P23" s="154"/>
      <c r="Q23" s="155"/>
      <c r="R23" s="7"/>
    </row>
    <row r="24" spans="2:18" ht="19.5" thickBot="1">
      <c r="B24" s="150"/>
      <c r="C24" s="140"/>
      <c r="D24" s="369" t="s">
        <v>30</v>
      </c>
      <c r="E24" s="370"/>
      <c r="F24" s="35">
        <v>0.75</v>
      </c>
      <c r="G24" s="369" t="s">
        <v>30</v>
      </c>
      <c r="H24" s="370"/>
      <c r="I24" s="35">
        <v>0.75</v>
      </c>
      <c r="J24" s="369" t="s">
        <v>30</v>
      </c>
      <c r="K24" s="370"/>
      <c r="L24" s="35">
        <v>0.75</v>
      </c>
      <c r="M24" s="369" t="s">
        <v>30</v>
      </c>
      <c r="N24" s="370"/>
      <c r="O24" s="35">
        <v>0.75</v>
      </c>
      <c r="P24" s="369" t="s">
        <v>30</v>
      </c>
      <c r="Q24" s="370"/>
      <c r="R24" s="35">
        <v>0.75</v>
      </c>
    </row>
    <row r="25" spans="2:18" ht="19.5" thickBot="1">
      <c r="B25" s="151"/>
      <c r="C25" s="18" t="s">
        <v>76</v>
      </c>
      <c r="D25" s="17"/>
      <c r="E25" s="17"/>
      <c r="F25" s="18">
        <f>SUM(F15:F24)</f>
        <v>7.75</v>
      </c>
      <c r="G25" s="17"/>
      <c r="H25" s="17"/>
      <c r="I25" s="18">
        <f>SUM(I15:I24)</f>
        <v>7.75</v>
      </c>
      <c r="J25" s="17"/>
      <c r="K25" s="17"/>
      <c r="L25" s="18">
        <f>SUM(L15:L24)</f>
        <v>7.75</v>
      </c>
      <c r="M25" s="17"/>
      <c r="N25" s="17"/>
      <c r="O25" s="18">
        <f>SUM(O15:O24)</f>
        <v>7.75</v>
      </c>
      <c r="P25" s="17"/>
      <c r="Q25" s="17"/>
      <c r="R25" s="18">
        <f>SUM(R15:R24)</f>
        <v>7.75</v>
      </c>
    </row>
    <row r="26" spans="2:18" ht="18.75" customHeight="1">
      <c r="B26" s="149" t="s">
        <v>65</v>
      </c>
      <c r="C26" s="138" t="s">
        <v>9</v>
      </c>
      <c r="D26" s="152" t="s">
        <v>33</v>
      </c>
      <c r="E26" s="153"/>
      <c r="F26" s="6">
        <v>0.5</v>
      </c>
      <c r="G26" s="154" t="s">
        <v>33</v>
      </c>
      <c r="H26" s="155"/>
      <c r="I26" s="6">
        <v>0.5</v>
      </c>
      <c r="J26" s="154" t="s">
        <v>35</v>
      </c>
      <c r="K26" s="155"/>
      <c r="L26" s="6" t="s">
        <v>36</v>
      </c>
      <c r="M26" s="154" t="s">
        <v>35</v>
      </c>
      <c r="N26" s="155"/>
      <c r="O26" s="6" t="s">
        <v>36</v>
      </c>
      <c r="P26" s="156" t="s">
        <v>37</v>
      </c>
      <c r="Q26" s="153"/>
      <c r="R26" s="6">
        <v>0.5</v>
      </c>
    </row>
    <row r="27" spans="2:18">
      <c r="B27" s="150"/>
      <c r="C27" s="139"/>
      <c r="D27" s="157" t="s">
        <v>39</v>
      </c>
      <c r="E27" s="155"/>
      <c r="F27" s="7">
        <v>2.5</v>
      </c>
      <c r="G27" s="456" t="s">
        <v>115</v>
      </c>
      <c r="H27" s="257"/>
      <c r="I27" s="23">
        <v>5</v>
      </c>
      <c r="J27" s="454" t="s">
        <v>100</v>
      </c>
      <c r="K27" s="455"/>
      <c r="L27" s="28">
        <v>5</v>
      </c>
      <c r="M27" s="154" t="s">
        <v>42</v>
      </c>
      <c r="N27" s="155"/>
      <c r="O27" s="7">
        <v>0.5</v>
      </c>
      <c r="P27" s="454" t="s">
        <v>101</v>
      </c>
      <c r="Q27" s="455"/>
      <c r="R27" s="28">
        <v>6</v>
      </c>
    </row>
    <row r="28" spans="2:18">
      <c r="B28" s="150"/>
      <c r="C28" s="139"/>
      <c r="D28" s="157" t="s">
        <v>116</v>
      </c>
      <c r="E28" s="155"/>
      <c r="F28" s="7">
        <v>1</v>
      </c>
      <c r="G28" s="454" t="s">
        <v>117</v>
      </c>
      <c r="H28" s="455"/>
      <c r="I28" s="28" t="s">
        <v>36</v>
      </c>
      <c r="J28" s="454" t="s">
        <v>117</v>
      </c>
      <c r="K28" s="455"/>
      <c r="L28" s="28" t="s">
        <v>36</v>
      </c>
      <c r="M28" s="459" t="s">
        <v>45</v>
      </c>
      <c r="N28" s="460"/>
      <c r="O28" s="29">
        <v>2.5</v>
      </c>
      <c r="P28" s="454" t="s">
        <v>117</v>
      </c>
      <c r="Q28" s="455"/>
      <c r="R28" s="28" t="s">
        <v>36</v>
      </c>
    </row>
    <row r="29" spans="2:18">
      <c r="B29" s="150"/>
      <c r="C29" s="139"/>
      <c r="D29" s="157"/>
      <c r="E29" s="155"/>
      <c r="F29" s="7"/>
      <c r="G29" s="454" t="s">
        <v>118</v>
      </c>
      <c r="H29" s="455"/>
      <c r="I29" s="30" t="s">
        <v>36</v>
      </c>
      <c r="J29" s="454" t="s">
        <v>118</v>
      </c>
      <c r="K29" s="455"/>
      <c r="L29" s="30" t="s">
        <v>36</v>
      </c>
      <c r="M29" s="154" t="s">
        <v>48</v>
      </c>
      <c r="N29" s="155"/>
      <c r="O29" s="7">
        <v>0.5</v>
      </c>
      <c r="P29" s="454" t="s">
        <v>118</v>
      </c>
      <c r="Q29" s="455"/>
      <c r="R29" s="30" t="s">
        <v>36</v>
      </c>
    </row>
    <row r="30" spans="2:18" ht="19.5" thickBot="1">
      <c r="B30" s="150"/>
      <c r="C30" s="140"/>
      <c r="D30" s="158"/>
      <c r="E30" s="159"/>
      <c r="F30" s="9"/>
      <c r="G30" s="461" t="s">
        <v>45</v>
      </c>
      <c r="H30" s="462"/>
      <c r="I30" s="31" t="s">
        <v>36</v>
      </c>
      <c r="J30" s="461" t="s">
        <v>45</v>
      </c>
      <c r="K30" s="462"/>
      <c r="L30" s="31" t="s">
        <v>36</v>
      </c>
      <c r="M30" s="161"/>
      <c r="N30" s="159"/>
      <c r="O30" s="9"/>
      <c r="P30" s="461" t="s">
        <v>45</v>
      </c>
      <c r="Q30" s="462"/>
      <c r="R30" s="31" t="s">
        <v>36</v>
      </c>
    </row>
    <row r="31" spans="2:18">
      <c r="B31" s="150"/>
      <c r="C31" s="138" t="s">
        <v>20</v>
      </c>
      <c r="D31" s="152" t="s">
        <v>119</v>
      </c>
      <c r="E31" s="153"/>
      <c r="F31" s="6">
        <v>1</v>
      </c>
      <c r="G31" s="457" t="s">
        <v>54</v>
      </c>
      <c r="H31" s="458"/>
      <c r="I31" s="23" t="s">
        <v>36</v>
      </c>
      <c r="J31" s="457" t="s">
        <v>54</v>
      </c>
      <c r="K31" s="458"/>
      <c r="L31" s="23" t="s">
        <v>36</v>
      </c>
      <c r="M31" s="154" t="s">
        <v>123</v>
      </c>
      <c r="N31" s="155"/>
      <c r="O31" s="7">
        <v>0.5</v>
      </c>
      <c r="P31" s="457" t="s">
        <v>54</v>
      </c>
      <c r="Q31" s="458"/>
      <c r="R31" s="23" t="s">
        <v>36</v>
      </c>
    </row>
    <row r="32" spans="2:18">
      <c r="B32" s="150"/>
      <c r="C32" s="139"/>
      <c r="D32" s="157" t="s">
        <v>120</v>
      </c>
      <c r="E32" s="155"/>
      <c r="F32" s="7">
        <v>1.5</v>
      </c>
      <c r="G32" s="456" t="s">
        <v>59</v>
      </c>
      <c r="H32" s="257"/>
      <c r="I32" s="23" t="s">
        <v>102</v>
      </c>
      <c r="J32" s="456" t="s">
        <v>59</v>
      </c>
      <c r="K32" s="257"/>
      <c r="L32" s="23" t="s">
        <v>102</v>
      </c>
      <c r="M32" s="154" t="s">
        <v>63</v>
      </c>
      <c r="N32" s="155"/>
      <c r="O32" s="7">
        <v>0.5</v>
      </c>
      <c r="P32" s="456" t="s">
        <v>59</v>
      </c>
      <c r="Q32" s="257"/>
      <c r="R32" s="23" t="s">
        <v>102</v>
      </c>
    </row>
    <row r="33" spans="2:18">
      <c r="B33" s="150"/>
      <c r="C33" s="139"/>
      <c r="D33" s="233" t="s">
        <v>121</v>
      </c>
      <c r="E33" s="184"/>
      <c r="F33" s="32">
        <v>0.5</v>
      </c>
      <c r="G33" s="456" t="s">
        <v>48</v>
      </c>
      <c r="H33" s="257"/>
      <c r="I33" s="23">
        <v>0.5</v>
      </c>
      <c r="J33" s="456" t="s">
        <v>48</v>
      </c>
      <c r="K33" s="257"/>
      <c r="L33" s="23">
        <v>1</v>
      </c>
      <c r="M33" s="154"/>
      <c r="N33" s="155"/>
      <c r="O33" s="7"/>
      <c r="P33" s="456" t="s">
        <v>48</v>
      </c>
      <c r="Q33" s="257"/>
      <c r="R33" s="23" t="s">
        <v>102</v>
      </c>
    </row>
    <row r="34" spans="2:18">
      <c r="B34" s="150"/>
      <c r="C34" s="139"/>
      <c r="D34" s="157" t="s">
        <v>122</v>
      </c>
      <c r="E34" s="155"/>
      <c r="F34" s="7" t="s">
        <v>36</v>
      </c>
      <c r="G34" s="459" t="s">
        <v>109</v>
      </c>
      <c r="H34" s="460"/>
      <c r="I34" s="29">
        <v>0.75</v>
      </c>
      <c r="J34" s="154"/>
      <c r="K34" s="155"/>
      <c r="L34" s="7"/>
      <c r="M34" s="154"/>
      <c r="N34" s="155"/>
      <c r="O34" s="7"/>
      <c r="P34" s="154" t="s">
        <v>64</v>
      </c>
      <c r="Q34" s="155"/>
      <c r="R34" s="7">
        <v>0.5</v>
      </c>
    </row>
    <row r="35" spans="2:18" ht="19.5" thickBot="1">
      <c r="B35" s="150"/>
      <c r="C35" s="140"/>
      <c r="D35" s="161"/>
      <c r="E35" s="159"/>
      <c r="F35" s="9"/>
      <c r="G35" s="161"/>
      <c r="H35" s="159"/>
      <c r="I35" s="9"/>
      <c r="J35" s="161"/>
      <c r="K35" s="159"/>
      <c r="L35" s="9"/>
      <c r="M35" s="161"/>
      <c r="N35" s="159"/>
      <c r="O35" s="9"/>
      <c r="P35" s="161"/>
      <c r="Q35" s="159"/>
      <c r="R35" s="9"/>
    </row>
    <row r="36" spans="2:18" ht="19.5" thickBot="1">
      <c r="B36" s="151"/>
      <c r="C36" s="18" t="s">
        <v>76</v>
      </c>
      <c r="D36" s="17"/>
      <c r="E36" s="17"/>
      <c r="F36" s="18">
        <f>SUM(F26:F35)</f>
        <v>7</v>
      </c>
      <c r="G36" s="17"/>
      <c r="H36" s="17"/>
      <c r="I36" s="18">
        <f>SUM(I26:I35)</f>
        <v>6.75</v>
      </c>
      <c r="J36" s="17"/>
      <c r="K36" s="17"/>
      <c r="L36" s="18">
        <f>SUM(L26:L35)</f>
        <v>6</v>
      </c>
      <c r="M36" s="17"/>
      <c r="N36" s="17"/>
      <c r="O36" s="18">
        <f>SUM(O26:O35)</f>
        <v>4.5</v>
      </c>
      <c r="P36" s="17"/>
      <c r="Q36" s="17"/>
      <c r="R36" s="18">
        <f>SUM(R26:R35)</f>
        <v>7</v>
      </c>
    </row>
  </sheetData>
  <mergeCells count="185">
    <mergeCell ref="J35:K35"/>
    <mergeCell ref="M35:N35"/>
    <mergeCell ref="P35:Q35"/>
    <mergeCell ref="D33:E33"/>
    <mergeCell ref="G33:H33"/>
    <mergeCell ref="J33:K33"/>
    <mergeCell ref="M33:N33"/>
    <mergeCell ref="P33:Q33"/>
    <mergeCell ref="D34:E34"/>
    <mergeCell ref="G34:H34"/>
    <mergeCell ref="J34:K34"/>
    <mergeCell ref="M34:N34"/>
    <mergeCell ref="P34:Q34"/>
    <mergeCell ref="M27:N27"/>
    <mergeCell ref="P27:Q27"/>
    <mergeCell ref="C31:C35"/>
    <mergeCell ref="D31:E31"/>
    <mergeCell ref="G31:H31"/>
    <mergeCell ref="J31:K31"/>
    <mergeCell ref="M31:N31"/>
    <mergeCell ref="D28:E28"/>
    <mergeCell ref="G28:H28"/>
    <mergeCell ref="J28:K28"/>
    <mergeCell ref="M28:N28"/>
    <mergeCell ref="P31:Q31"/>
    <mergeCell ref="D32:E32"/>
    <mergeCell ref="G32:H32"/>
    <mergeCell ref="J32:K32"/>
    <mergeCell ref="M32:N32"/>
    <mergeCell ref="P32:Q32"/>
    <mergeCell ref="D30:E30"/>
    <mergeCell ref="G30:H30"/>
    <mergeCell ref="J30:K30"/>
    <mergeCell ref="M30:N30"/>
    <mergeCell ref="P30:Q30"/>
    <mergeCell ref="D35:E35"/>
    <mergeCell ref="G35:H35"/>
    <mergeCell ref="D24:E24"/>
    <mergeCell ref="G24:H24"/>
    <mergeCell ref="J24:K24"/>
    <mergeCell ref="M24:N24"/>
    <mergeCell ref="P24:Q24"/>
    <mergeCell ref="B26:B36"/>
    <mergeCell ref="C26:C30"/>
    <mergeCell ref="D26:E26"/>
    <mergeCell ref="G26:H26"/>
    <mergeCell ref="J26:K26"/>
    <mergeCell ref="C20:C24"/>
    <mergeCell ref="B15:B25"/>
    <mergeCell ref="C15:C19"/>
    <mergeCell ref="P28:Q28"/>
    <mergeCell ref="D29:E29"/>
    <mergeCell ref="G29:H29"/>
    <mergeCell ref="J29:K29"/>
    <mergeCell ref="M29:N29"/>
    <mergeCell ref="P29:Q29"/>
    <mergeCell ref="M26:N26"/>
    <mergeCell ref="P26:Q26"/>
    <mergeCell ref="D27:E27"/>
    <mergeCell ref="G27:H27"/>
    <mergeCell ref="J27:K27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  <mergeCell ref="M17:N17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D20:E20"/>
    <mergeCell ref="G20:H20"/>
    <mergeCell ref="J20:K20"/>
    <mergeCell ref="M20:N20"/>
    <mergeCell ref="G12:H12"/>
    <mergeCell ref="J12:K12"/>
    <mergeCell ref="M12:N12"/>
    <mergeCell ref="P12:Q12"/>
    <mergeCell ref="S12:T12"/>
    <mergeCell ref="P17:Q17"/>
    <mergeCell ref="D18:E18"/>
    <mergeCell ref="G18:H18"/>
    <mergeCell ref="J18:K18"/>
    <mergeCell ref="M18:N18"/>
    <mergeCell ref="P18:Q18"/>
    <mergeCell ref="P15:Q15"/>
    <mergeCell ref="D16:E16"/>
    <mergeCell ref="G16:H16"/>
    <mergeCell ref="J16:K16"/>
    <mergeCell ref="M16:N16"/>
    <mergeCell ref="P16:Q16"/>
    <mergeCell ref="D15:E15"/>
    <mergeCell ref="G15:H15"/>
    <mergeCell ref="J15:K15"/>
    <mergeCell ref="M15:N15"/>
    <mergeCell ref="D17:E17"/>
    <mergeCell ref="G17:H17"/>
    <mergeCell ref="J17:K17"/>
    <mergeCell ref="P10:Q10"/>
    <mergeCell ref="D11:E11"/>
    <mergeCell ref="G11:H11"/>
    <mergeCell ref="J11:K11"/>
    <mergeCell ref="M11:N11"/>
    <mergeCell ref="P11:Q11"/>
    <mergeCell ref="S8:T8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D13:E13"/>
    <mergeCell ref="G13:H13"/>
    <mergeCell ref="J13:K13"/>
    <mergeCell ref="M13:N13"/>
    <mergeCell ref="P13:Q13"/>
    <mergeCell ref="S13:T13"/>
    <mergeCell ref="S11:T11"/>
    <mergeCell ref="D12:E12"/>
    <mergeCell ref="S6:T6"/>
    <mergeCell ref="S4:T4"/>
    <mergeCell ref="D5:E5"/>
    <mergeCell ref="G5:H5"/>
    <mergeCell ref="J5:K5"/>
    <mergeCell ref="M5:N5"/>
    <mergeCell ref="P5:Q5"/>
    <mergeCell ref="S5:T5"/>
    <mergeCell ref="D7:E7"/>
    <mergeCell ref="G7:H7"/>
    <mergeCell ref="J7:K7"/>
    <mergeCell ref="M7:N7"/>
    <mergeCell ref="P7:Q7"/>
    <mergeCell ref="B4:B14"/>
    <mergeCell ref="C4:C8"/>
    <mergeCell ref="D4:E4"/>
    <mergeCell ref="G4:H4"/>
    <mergeCell ref="J4:K4"/>
    <mergeCell ref="M4:N4"/>
    <mergeCell ref="P4:Q4"/>
    <mergeCell ref="J2:J3"/>
    <mergeCell ref="K2:K3"/>
    <mergeCell ref="L2:L3"/>
    <mergeCell ref="M2:M3"/>
    <mergeCell ref="N2:N3"/>
    <mergeCell ref="O2:O3"/>
    <mergeCell ref="D6:E6"/>
    <mergeCell ref="G6:H6"/>
    <mergeCell ref="J6:K6"/>
    <mergeCell ref="M6:N6"/>
    <mergeCell ref="P6:Q6"/>
    <mergeCell ref="D8:E8"/>
    <mergeCell ref="G8:H8"/>
    <mergeCell ref="J8:K8"/>
    <mergeCell ref="M8:N8"/>
    <mergeCell ref="P8:Q8"/>
    <mergeCell ref="M10:N10"/>
    <mergeCell ref="C1:D1"/>
    <mergeCell ref="G1:M1"/>
    <mergeCell ref="P1:R1"/>
    <mergeCell ref="B2:C3"/>
    <mergeCell ref="D2:D3"/>
    <mergeCell ref="E2:E3"/>
    <mergeCell ref="F2:F3"/>
    <mergeCell ref="G2:G3"/>
    <mergeCell ref="H2:H3"/>
    <mergeCell ref="I2:I3"/>
    <mergeCell ref="P2:P3"/>
    <mergeCell ref="Q2:Q3"/>
    <mergeCell ref="R2:R3"/>
  </mergeCells>
  <phoneticPr fontId="1"/>
  <pageMargins left="0.7" right="0.7" top="0.75" bottom="0.75" header="0.3" footer="0.3"/>
  <pageSetup paperSize="8" orientation="landscape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AEBB-02C7-4E1F-A6F1-B5A3C675CF42}">
  <sheetPr codeName="Sheet11"/>
  <dimension ref="B1:T36"/>
  <sheetViews>
    <sheetView workbookViewId="0">
      <selection activeCell="R44" sqref="R44"/>
    </sheetView>
  </sheetViews>
  <sheetFormatPr defaultRowHeight="18.75"/>
  <cols>
    <col min="1" max="1" width="2.5" customWidth="1"/>
    <col min="4" max="5" width="11.25" customWidth="1"/>
    <col min="6" max="6" width="8.75" customWidth="1"/>
    <col min="7" max="8" width="11.25" customWidth="1"/>
    <col min="9" max="9" width="8.75" customWidth="1"/>
    <col min="10" max="11" width="11.25" customWidth="1"/>
    <col min="12" max="12" width="8.75" customWidth="1"/>
    <col min="13" max="14" width="11.25" customWidth="1"/>
    <col min="15" max="15" width="8.75" customWidth="1"/>
    <col min="16" max="17" width="11.25" customWidth="1"/>
    <col min="18" max="18" width="8.75" customWidth="1"/>
  </cols>
  <sheetData>
    <row r="1" spans="2:20" ht="24.75" thickBot="1">
      <c r="C1" s="448">
        <v>45478</v>
      </c>
      <c r="D1" s="448"/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449" t="s">
        <v>2</v>
      </c>
      <c r="Q1" s="449"/>
      <c r="R1" s="449"/>
    </row>
    <row r="2" spans="2:20" s="5" customFormat="1">
      <c r="B2" s="201"/>
      <c r="C2" s="202"/>
      <c r="D2" s="450">
        <v>15</v>
      </c>
      <c r="E2" s="195" t="s">
        <v>3</v>
      </c>
      <c r="F2" s="191" t="s">
        <v>4</v>
      </c>
      <c r="G2" s="438">
        <f>D2+1</f>
        <v>16</v>
      </c>
      <c r="H2" s="195" t="s">
        <v>5</v>
      </c>
      <c r="I2" s="191" t="s">
        <v>4</v>
      </c>
      <c r="J2" s="438">
        <f>G2+1</f>
        <v>17</v>
      </c>
      <c r="K2" s="195" t="s">
        <v>6</v>
      </c>
      <c r="L2" s="191" t="s">
        <v>4</v>
      </c>
      <c r="M2" s="438">
        <f t="shared" ref="M2" si="0">J2+1</f>
        <v>18</v>
      </c>
      <c r="N2" s="195" t="s">
        <v>7</v>
      </c>
      <c r="O2" s="191" t="s">
        <v>4</v>
      </c>
      <c r="P2" s="438">
        <f t="shared" ref="P2" si="1">M2+1</f>
        <v>19</v>
      </c>
      <c r="Q2" s="195" t="s">
        <v>8</v>
      </c>
      <c r="R2" s="191" t="s">
        <v>4</v>
      </c>
    </row>
    <row r="3" spans="2:20" ht="19.5" thickBot="1">
      <c r="B3" s="203"/>
      <c r="C3" s="204"/>
      <c r="D3" s="451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20" ht="18.75" customHeight="1">
      <c r="B4" s="303" t="s">
        <v>31</v>
      </c>
      <c r="C4" s="138" t="s">
        <v>9</v>
      </c>
      <c r="D4" s="264"/>
      <c r="E4" s="153"/>
      <c r="F4" s="6"/>
      <c r="G4" s="264" t="s">
        <v>67</v>
      </c>
      <c r="H4" s="153"/>
      <c r="I4" s="6">
        <v>0.5</v>
      </c>
      <c r="J4" s="264" t="s">
        <v>67</v>
      </c>
      <c r="K4" s="153"/>
      <c r="L4" s="6">
        <v>0.5</v>
      </c>
      <c r="M4" s="264" t="s">
        <v>67</v>
      </c>
      <c r="N4" s="153"/>
      <c r="O4" s="6">
        <v>0.5</v>
      </c>
      <c r="P4" s="264" t="s">
        <v>67</v>
      </c>
      <c r="Q4" s="153"/>
      <c r="R4" s="6">
        <v>0.5</v>
      </c>
      <c r="S4" s="211"/>
      <c r="T4" s="211"/>
    </row>
    <row r="5" spans="2:20">
      <c r="B5" s="304"/>
      <c r="C5" s="139"/>
      <c r="D5" s="157"/>
      <c r="E5" s="155"/>
      <c r="F5" s="7"/>
      <c r="G5" s="157" t="s">
        <v>71</v>
      </c>
      <c r="H5" s="155"/>
      <c r="I5" s="7">
        <v>0.1</v>
      </c>
      <c r="J5" s="157" t="s">
        <v>71</v>
      </c>
      <c r="K5" s="155"/>
      <c r="L5" s="7">
        <v>0.1</v>
      </c>
      <c r="M5" s="157" t="s">
        <v>71</v>
      </c>
      <c r="N5" s="155"/>
      <c r="O5" s="7">
        <v>0.1</v>
      </c>
      <c r="P5" s="157" t="s">
        <v>71</v>
      </c>
      <c r="Q5" s="155"/>
      <c r="R5" s="7">
        <v>0.1</v>
      </c>
      <c r="S5" s="211"/>
      <c r="T5" s="211"/>
    </row>
    <row r="6" spans="2:20">
      <c r="B6" s="304"/>
      <c r="C6" s="139"/>
      <c r="D6" s="300"/>
      <c r="E6" s="155"/>
      <c r="F6" s="7"/>
      <c r="G6" s="300" t="s">
        <v>70</v>
      </c>
      <c r="H6" s="155"/>
      <c r="I6" s="7">
        <v>0.1</v>
      </c>
      <c r="J6" s="418" t="s">
        <v>84</v>
      </c>
      <c r="K6" s="419"/>
      <c r="L6" s="15">
        <v>2.4</v>
      </c>
      <c r="M6" s="154" t="s">
        <v>113</v>
      </c>
      <c r="N6" s="155"/>
      <c r="O6" s="7">
        <v>0.5</v>
      </c>
      <c r="P6" s="436" t="s">
        <v>112</v>
      </c>
      <c r="Q6" s="437"/>
      <c r="R6" s="15">
        <v>0.5</v>
      </c>
      <c r="S6" s="212"/>
      <c r="T6" s="212"/>
    </row>
    <row r="7" spans="2:20">
      <c r="B7" s="304"/>
      <c r="C7" s="139"/>
      <c r="D7" s="154"/>
      <c r="E7" s="155"/>
      <c r="F7" s="7"/>
      <c r="G7" s="436" t="s">
        <v>112</v>
      </c>
      <c r="H7" s="437"/>
      <c r="I7" s="15">
        <v>0.5</v>
      </c>
      <c r="J7" s="154"/>
      <c r="K7" s="155"/>
      <c r="L7" s="7"/>
      <c r="M7" s="418" t="s">
        <v>84</v>
      </c>
      <c r="N7" s="419"/>
      <c r="O7" s="15">
        <v>1.9</v>
      </c>
      <c r="P7" s="418" t="s">
        <v>84</v>
      </c>
      <c r="Q7" s="419"/>
      <c r="R7" s="15">
        <v>1.9</v>
      </c>
      <c r="S7" s="8"/>
      <c r="T7" s="8"/>
    </row>
    <row r="8" spans="2:20" ht="19.5" thickBot="1">
      <c r="B8" s="304"/>
      <c r="C8" s="140"/>
      <c r="D8" s="160"/>
      <c r="E8" s="159"/>
      <c r="F8" s="9"/>
      <c r="G8" s="160" t="s">
        <v>111</v>
      </c>
      <c r="H8" s="159"/>
      <c r="I8" s="9">
        <v>1.8</v>
      </c>
      <c r="J8" s="160"/>
      <c r="K8" s="159"/>
      <c r="L8" s="9"/>
      <c r="M8" s="160"/>
      <c r="N8" s="159"/>
      <c r="O8" s="9"/>
      <c r="P8" s="161"/>
      <c r="Q8" s="159"/>
      <c r="R8" s="9"/>
      <c r="S8" s="214"/>
      <c r="T8" s="214"/>
    </row>
    <row r="9" spans="2:20">
      <c r="B9" s="304"/>
      <c r="C9" s="138" t="s">
        <v>20</v>
      </c>
      <c r="D9" s="154"/>
      <c r="E9" s="155"/>
      <c r="F9" s="16"/>
      <c r="G9" s="418" t="s">
        <v>83</v>
      </c>
      <c r="H9" s="419"/>
      <c r="I9" s="15">
        <v>4.5</v>
      </c>
      <c r="J9" s="418" t="s">
        <v>83</v>
      </c>
      <c r="K9" s="419"/>
      <c r="L9" s="15">
        <v>4.5</v>
      </c>
      <c r="M9" s="418" t="s">
        <v>83</v>
      </c>
      <c r="N9" s="419"/>
      <c r="O9" s="15">
        <v>3.55</v>
      </c>
      <c r="P9" s="418" t="s">
        <v>83</v>
      </c>
      <c r="Q9" s="419"/>
      <c r="R9" s="15">
        <v>4.5</v>
      </c>
      <c r="S9" s="11"/>
      <c r="T9" s="11"/>
    </row>
    <row r="10" spans="2:20">
      <c r="B10" s="304"/>
      <c r="C10" s="139"/>
      <c r="D10" s="300"/>
      <c r="E10" s="155"/>
      <c r="F10" s="7"/>
      <c r="G10" s="154"/>
      <c r="H10" s="155"/>
      <c r="I10" s="7"/>
      <c r="J10" s="154"/>
      <c r="K10" s="155"/>
      <c r="L10" s="7"/>
      <c r="M10" s="154" t="s">
        <v>72</v>
      </c>
      <c r="N10" s="155"/>
      <c r="O10" s="7">
        <v>0.1</v>
      </c>
      <c r="P10" s="154"/>
      <c r="Q10" s="155"/>
      <c r="R10" s="7"/>
      <c r="S10" s="11"/>
      <c r="T10" s="11"/>
    </row>
    <row r="11" spans="2:20">
      <c r="B11" s="304"/>
      <c r="C11" s="139"/>
      <c r="D11" s="300"/>
      <c r="E11" s="155"/>
      <c r="F11" s="7"/>
      <c r="G11" s="300"/>
      <c r="H11" s="155"/>
      <c r="I11" s="7"/>
      <c r="J11" s="154"/>
      <c r="K11" s="155"/>
      <c r="L11" s="7"/>
      <c r="M11" s="154" t="s">
        <v>69</v>
      </c>
      <c r="N11" s="155"/>
      <c r="O11" s="7">
        <v>0.1</v>
      </c>
      <c r="P11" s="154"/>
      <c r="Q11" s="155"/>
      <c r="R11" s="7"/>
      <c r="S11" s="215"/>
      <c r="T11" s="215"/>
    </row>
    <row r="12" spans="2:20">
      <c r="B12" s="304"/>
      <c r="C12" s="139"/>
      <c r="D12" s="300"/>
      <c r="E12" s="155"/>
      <c r="F12" s="7"/>
      <c r="G12" s="300"/>
      <c r="H12" s="155"/>
      <c r="I12" s="7"/>
      <c r="J12" s="154"/>
      <c r="K12" s="155"/>
      <c r="L12" s="7"/>
      <c r="M12" s="154" t="s">
        <v>73</v>
      </c>
      <c r="N12" s="155"/>
      <c r="O12" s="7">
        <v>0.75</v>
      </c>
      <c r="P12" s="154"/>
      <c r="Q12" s="155"/>
      <c r="R12" s="7"/>
      <c r="S12" s="214"/>
      <c r="T12" s="214"/>
    </row>
    <row r="13" spans="2:20" ht="19.5" thickBot="1">
      <c r="B13" s="304"/>
      <c r="C13" s="140"/>
      <c r="D13" s="160"/>
      <c r="E13" s="159"/>
      <c r="F13" s="9"/>
      <c r="G13" s="160" t="s">
        <v>68</v>
      </c>
      <c r="H13" s="159"/>
      <c r="I13" s="9">
        <v>0.25</v>
      </c>
      <c r="J13" s="160" t="s">
        <v>68</v>
      </c>
      <c r="K13" s="159"/>
      <c r="L13" s="9">
        <v>0.25</v>
      </c>
      <c r="M13" s="160" t="s">
        <v>68</v>
      </c>
      <c r="N13" s="159"/>
      <c r="O13" s="9">
        <v>0.25</v>
      </c>
      <c r="P13" s="160" t="s">
        <v>68</v>
      </c>
      <c r="Q13" s="159"/>
      <c r="R13" s="9">
        <v>0.25</v>
      </c>
      <c r="S13" s="215"/>
      <c r="T13" s="215"/>
    </row>
    <row r="14" spans="2:20" ht="19.5" thickBot="1">
      <c r="B14" s="305"/>
      <c r="C14" s="18" t="s">
        <v>76</v>
      </c>
      <c r="D14" s="17"/>
      <c r="E14" s="17"/>
      <c r="F14" s="18">
        <f>SUM(F4:F13)</f>
        <v>0</v>
      </c>
      <c r="G14" s="17"/>
      <c r="H14" s="17"/>
      <c r="I14" s="18">
        <f>SUM(I4:I13)</f>
        <v>7.75</v>
      </c>
      <c r="J14" s="17"/>
      <c r="K14" s="17"/>
      <c r="L14" s="18">
        <f>SUM(L4:L13)</f>
        <v>7.75</v>
      </c>
      <c r="M14" s="17"/>
      <c r="N14" s="17"/>
      <c r="O14" s="18">
        <f>SUM(O4:O13)</f>
        <v>7.7499999999999991</v>
      </c>
      <c r="P14" s="17"/>
      <c r="Q14" s="17"/>
      <c r="R14" s="18">
        <f>SUM(R4:R13)</f>
        <v>7.75</v>
      </c>
    </row>
    <row r="15" spans="2:20" ht="18.75" customHeight="1">
      <c r="B15" s="149" t="s">
        <v>32</v>
      </c>
      <c r="C15" s="138" t="s">
        <v>9</v>
      </c>
      <c r="D15" s="264"/>
      <c r="E15" s="153"/>
      <c r="F15" s="6"/>
      <c r="G15" s="264" t="s">
        <v>10</v>
      </c>
      <c r="H15" s="153"/>
      <c r="I15" s="6">
        <v>0.5</v>
      </c>
      <c r="J15" s="264" t="s">
        <v>10</v>
      </c>
      <c r="K15" s="153"/>
      <c r="L15" s="6">
        <v>0.5</v>
      </c>
      <c r="M15" s="264" t="s">
        <v>10</v>
      </c>
      <c r="N15" s="153"/>
      <c r="O15" s="6">
        <v>0.5</v>
      </c>
      <c r="P15" s="264" t="s">
        <v>10</v>
      </c>
      <c r="Q15" s="153"/>
      <c r="R15" s="6">
        <v>0.5</v>
      </c>
    </row>
    <row r="16" spans="2:20">
      <c r="B16" s="150"/>
      <c r="C16" s="139"/>
      <c r="D16" s="300"/>
      <c r="E16" s="155"/>
      <c r="F16" s="7"/>
      <c r="G16" s="157" t="s">
        <v>11</v>
      </c>
      <c r="H16" s="155"/>
      <c r="I16" s="7">
        <v>0.2</v>
      </c>
      <c r="J16" s="157" t="s">
        <v>11</v>
      </c>
      <c r="K16" s="155"/>
      <c r="L16" s="7">
        <v>0.2</v>
      </c>
      <c r="M16" s="157" t="s">
        <v>11</v>
      </c>
      <c r="N16" s="155"/>
      <c r="O16" s="7">
        <v>0.2</v>
      </c>
      <c r="P16" s="157" t="s">
        <v>11</v>
      </c>
      <c r="Q16" s="155"/>
      <c r="R16" s="7">
        <v>0.2</v>
      </c>
    </row>
    <row r="17" spans="2:18">
      <c r="B17" s="150"/>
      <c r="C17" s="139"/>
      <c r="D17" s="154"/>
      <c r="E17" s="155"/>
      <c r="F17" s="7"/>
      <c r="G17" s="418" t="s">
        <v>88</v>
      </c>
      <c r="H17" s="419"/>
      <c r="I17" s="15">
        <v>2.8</v>
      </c>
      <c r="J17" s="418" t="s">
        <v>89</v>
      </c>
      <c r="K17" s="419"/>
      <c r="L17" s="15">
        <v>0.3</v>
      </c>
      <c r="M17" s="418" t="s">
        <v>90</v>
      </c>
      <c r="N17" s="419"/>
      <c r="O17" s="15">
        <v>2.8</v>
      </c>
      <c r="P17" s="154" t="s">
        <v>114</v>
      </c>
      <c r="Q17" s="155"/>
      <c r="R17" s="7">
        <v>2.8</v>
      </c>
    </row>
    <row r="18" spans="2:18">
      <c r="B18" s="150"/>
      <c r="C18" s="139"/>
      <c r="D18" s="300"/>
      <c r="E18" s="155"/>
      <c r="F18" s="7"/>
      <c r="G18" s="154"/>
      <c r="H18" s="155"/>
      <c r="I18" s="7"/>
      <c r="J18" s="418" t="s">
        <v>91</v>
      </c>
      <c r="K18" s="419"/>
      <c r="L18" s="15">
        <v>2.5</v>
      </c>
      <c r="M18" s="154"/>
      <c r="N18" s="155"/>
      <c r="O18" s="7"/>
      <c r="P18" s="154"/>
      <c r="Q18" s="155"/>
      <c r="R18" s="7"/>
    </row>
    <row r="19" spans="2:18" ht="19.5" thickBot="1">
      <c r="B19" s="150"/>
      <c r="C19" s="140"/>
      <c r="D19" s="160"/>
      <c r="E19" s="159"/>
      <c r="F19" s="9"/>
      <c r="G19" s="161"/>
      <c r="H19" s="159"/>
      <c r="I19" s="9"/>
      <c r="J19" s="161"/>
      <c r="K19" s="159"/>
      <c r="L19" s="9"/>
      <c r="M19" s="161"/>
      <c r="N19" s="159"/>
      <c r="O19" s="9"/>
      <c r="P19" s="161"/>
      <c r="Q19" s="159"/>
      <c r="R19" s="9"/>
    </row>
    <row r="20" spans="2:18">
      <c r="B20" s="150"/>
      <c r="C20" s="138" t="s">
        <v>20</v>
      </c>
      <c r="D20" s="154"/>
      <c r="E20" s="155"/>
      <c r="F20" s="7"/>
      <c r="G20" s="418" t="s">
        <v>92</v>
      </c>
      <c r="H20" s="419"/>
      <c r="I20" s="15">
        <v>2</v>
      </c>
      <c r="J20" s="418" t="s">
        <v>93</v>
      </c>
      <c r="K20" s="419"/>
      <c r="L20" s="15">
        <v>2</v>
      </c>
      <c r="M20" s="418" t="s">
        <v>94</v>
      </c>
      <c r="N20" s="419"/>
      <c r="O20" s="15">
        <v>2.5</v>
      </c>
      <c r="P20" s="418" t="s">
        <v>95</v>
      </c>
      <c r="Q20" s="419"/>
      <c r="R20" s="15">
        <v>3.5</v>
      </c>
    </row>
    <row r="21" spans="2:18">
      <c r="B21" s="150"/>
      <c r="C21" s="139"/>
      <c r="D21" s="154"/>
      <c r="E21" s="155"/>
      <c r="F21" s="7"/>
      <c r="G21" s="418" t="s">
        <v>96</v>
      </c>
      <c r="H21" s="419"/>
      <c r="I21" s="15">
        <v>1.5</v>
      </c>
      <c r="J21" s="418" t="s">
        <v>97</v>
      </c>
      <c r="K21" s="419"/>
      <c r="L21" s="15">
        <v>1.5</v>
      </c>
      <c r="M21" s="418" t="s">
        <v>98</v>
      </c>
      <c r="N21" s="419"/>
      <c r="O21" s="15">
        <v>1</v>
      </c>
      <c r="P21" s="154"/>
      <c r="Q21" s="155"/>
      <c r="R21" s="7"/>
    </row>
    <row r="22" spans="2:18">
      <c r="B22" s="150"/>
      <c r="C22" s="139"/>
      <c r="D22" s="300"/>
      <c r="E22" s="155"/>
      <c r="F22" s="7"/>
      <c r="G22" s="167"/>
      <c r="H22" s="168"/>
      <c r="I22" s="7"/>
      <c r="J22" s="154"/>
      <c r="K22" s="155"/>
      <c r="L22" s="7"/>
      <c r="M22" s="154"/>
      <c r="N22" s="155"/>
      <c r="O22" s="7"/>
      <c r="P22" s="154"/>
      <c r="Q22" s="155"/>
      <c r="R22" s="7"/>
    </row>
    <row r="23" spans="2:18">
      <c r="B23" s="150"/>
      <c r="C23" s="139"/>
      <c r="D23" s="300"/>
      <c r="E23" s="155"/>
      <c r="F23" s="7"/>
      <c r="G23" s="154"/>
      <c r="H23" s="155"/>
      <c r="I23" s="7"/>
      <c r="J23" s="154"/>
      <c r="K23" s="155"/>
      <c r="L23" s="7"/>
      <c r="M23" s="154"/>
      <c r="N23" s="155"/>
      <c r="O23" s="7"/>
      <c r="P23" s="154"/>
      <c r="Q23" s="155"/>
      <c r="R23" s="7"/>
    </row>
    <row r="24" spans="2:18" ht="19.5" thickBot="1">
      <c r="B24" s="150"/>
      <c r="C24" s="140"/>
      <c r="D24" s="160"/>
      <c r="E24" s="159"/>
      <c r="F24" s="9"/>
      <c r="G24" s="160" t="s">
        <v>30</v>
      </c>
      <c r="H24" s="159"/>
      <c r="I24" s="9">
        <v>0.75</v>
      </c>
      <c r="J24" s="160" t="s">
        <v>30</v>
      </c>
      <c r="K24" s="159"/>
      <c r="L24" s="9">
        <v>0.75</v>
      </c>
      <c r="M24" s="160" t="s">
        <v>30</v>
      </c>
      <c r="N24" s="159"/>
      <c r="O24" s="9">
        <v>0.75</v>
      </c>
      <c r="P24" s="160" t="s">
        <v>30</v>
      </c>
      <c r="Q24" s="159"/>
      <c r="R24" s="9">
        <v>0.75</v>
      </c>
    </row>
    <row r="25" spans="2:18" ht="19.5" thickBot="1">
      <c r="B25" s="151"/>
      <c r="C25" s="18" t="s">
        <v>76</v>
      </c>
      <c r="D25" s="17"/>
      <c r="E25" s="17"/>
      <c r="F25" s="18">
        <f>SUM(F15:F24)</f>
        <v>0</v>
      </c>
      <c r="G25" s="17"/>
      <c r="H25" s="17"/>
      <c r="I25" s="18">
        <f>SUM(I15:I24)</f>
        <v>7.75</v>
      </c>
      <c r="J25" s="17"/>
      <c r="K25" s="17"/>
      <c r="L25" s="18">
        <f>SUM(L15:L24)</f>
        <v>7.75</v>
      </c>
      <c r="M25" s="17"/>
      <c r="N25" s="17"/>
      <c r="O25" s="18">
        <f>SUM(O15:O24)</f>
        <v>7.75</v>
      </c>
      <c r="P25" s="17"/>
      <c r="Q25" s="17"/>
      <c r="R25" s="18">
        <f>SUM(R15:R24)</f>
        <v>7.75</v>
      </c>
    </row>
    <row r="26" spans="2:18" ht="18.75" customHeight="1">
      <c r="B26" s="149" t="s">
        <v>65</v>
      </c>
      <c r="C26" s="138" t="s">
        <v>9</v>
      </c>
      <c r="D26" s="152"/>
      <c r="E26" s="153"/>
      <c r="F26" s="6"/>
      <c r="G26" s="154" t="s">
        <v>33</v>
      </c>
      <c r="H26" s="155"/>
      <c r="I26" s="6">
        <v>0.5</v>
      </c>
      <c r="J26" s="154" t="s">
        <v>35</v>
      </c>
      <c r="K26" s="155"/>
      <c r="L26" s="6" t="s">
        <v>36</v>
      </c>
      <c r="M26" s="154" t="s">
        <v>35</v>
      </c>
      <c r="N26" s="155"/>
      <c r="O26" s="6" t="s">
        <v>36</v>
      </c>
      <c r="P26" s="156" t="s">
        <v>37</v>
      </c>
      <c r="Q26" s="153"/>
      <c r="R26" s="6">
        <v>0.5</v>
      </c>
    </row>
    <row r="27" spans="2:18">
      <c r="B27" s="150"/>
      <c r="C27" s="139"/>
      <c r="D27" s="162"/>
      <c r="E27" s="163"/>
      <c r="F27" s="20"/>
      <c r="G27" s="456" t="s">
        <v>99</v>
      </c>
      <c r="H27" s="257"/>
      <c r="I27" s="23">
        <v>5</v>
      </c>
      <c r="J27" s="456" t="s">
        <v>100</v>
      </c>
      <c r="K27" s="257"/>
      <c r="L27" s="23">
        <v>5</v>
      </c>
      <c r="M27" s="154" t="s">
        <v>42</v>
      </c>
      <c r="N27" s="155"/>
      <c r="O27" s="7">
        <v>0.5</v>
      </c>
      <c r="P27" s="456" t="s">
        <v>101</v>
      </c>
      <c r="Q27" s="257"/>
      <c r="R27" s="23">
        <v>6</v>
      </c>
    </row>
    <row r="28" spans="2:18">
      <c r="B28" s="150"/>
      <c r="C28" s="139"/>
      <c r="D28" s="162"/>
      <c r="E28" s="163"/>
      <c r="F28" s="20"/>
      <c r="G28" s="456" t="s">
        <v>45</v>
      </c>
      <c r="H28" s="257"/>
      <c r="I28" s="23" t="s">
        <v>102</v>
      </c>
      <c r="J28" s="456" t="s">
        <v>45</v>
      </c>
      <c r="K28" s="257"/>
      <c r="L28" s="23">
        <v>1</v>
      </c>
      <c r="M28" s="311" t="s">
        <v>45</v>
      </c>
      <c r="N28" s="222"/>
      <c r="O28" s="24">
        <v>2.5</v>
      </c>
      <c r="P28" s="456" t="s">
        <v>45</v>
      </c>
      <c r="Q28" s="257"/>
      <c r="R28" s="23" t="s">
        <v>102</v>
      </c>
    </row>
    <row r="29" spans="2:18">
      <c r="B29" s="150"/>
      <c r="C29" s="139"/>
      <c r="D29" s="157"/>
      <c r="E29" s="155"/>
      <c r="F29" s="7"/>
      <c r="G29" s="456" t="s">
        <v>103</v>
      </c>
      <c r="H29" s="257"/>
      <c r="I29" s="25" t="s">
        <v>36</v>
      </c>
      <c r="J29" s="456" t="s">
        <v>104</v>
      </c>
      <c r="K29" s="257"/>
      <c r="L29" s="25" t="s">
        <v>36</v>
      </c>
      <c r="M29" s="154" t="s">
        <v>48</v>
      </c>
      <c r="N29" s="155"/>
      <c r="O29" s="7">
        <v>0.5</v>
      </c>
      <c r="P29" s="456" t="s">
        <v>104</v>
      </c>
      <c r="Q29" s="257"/>
      <c r="R29" s="25" t="s">
        <v>36</v>
      </c>
    </row>
    <row r="30" spans="2:18" ht="19.5" thickBot="1">
      <c r="B30" s="150"/>
      <c r="C30" s="140"/>
      <c r="D30" s="158"/>
      <c r="E30" s="159"/>
      <c r="F30" s="9"/>
      <c r="G30" s="465" t="s">
        <v>105</v>
      </c>
      <c r="H30" s="466"/>
      <c r="I30" s="26" t="s">
        <v>36</v>
      </c>
      <c r="J30" s="465" t="s">
        <v>106</v>
      </c>
      <c r="K30" s="466"/>
      <c r="L30" s="26" t="s">
        <v>36</v>
      </c>
      <c r="M30" s="161" t="s">
        <v>107</v>
      </c>
      <c r="N30" s="159"/>
      <c r="O30" s="9">
        <v>1</v>
      </c>
      <c r="P30" s="465" t="s">
        <v>106</v>
      </c>
      <c r="Q30" s="466"/>
      <c r="R30" s="26" t="s">
        <v>36</v>
      </c>
    </row>
    <row r="31" spans="2:18">
      <c r="B31" s="150"/>
      <c r="C31" s="138" t="s">
        <v>20</v>
      </c>
      <c r="D31" s="310"/>
      <c r="E31" s="220"/>
      <c r="F31" s="21"/>
      <c r="G31" s="463" t="s">
        <v>54</v>
      </c>
      <c r="H31" s="464"/>
      <c r="I31" s="23" t="s">
        <v>36</v>
      </c>
      <c r="J31" s="463" t="s">
        <v>54</v>
      </c>
      <c r="K31" s="464"/>
      <c r="L31" s="23" t="s">
        <v>36</v>
      </c>
      <c r="M31" s="424"/>
      <c r="N31" s="425"/>
      <c r="O31" s="27"/>
      <c r="P31" s="463" t="s">
        <v>54</v>
      </c>
      <c r="Q31" s="464"/>
      <c r="R31" s="23" t="s">
        <v>36</v>
      </c>
    </row>
    <row r="32" spans="2:18">
      <c r="B32" s="150"/>
      <c r="C32" s="139"/>
      <c r="D32" s="162"/>
      <c r="E32" s="163"/>
      <c r="F32" s="20"/>
      <c r="G32" s="456" t="s">
        <v>59</v>
      </c>
      <c r="H32" s="257"/>
      <c r="I32" s="23" t="s">
        <v>102</v>
      </c>
      <c r="J32" s="456" t="s">
        <v>59</v>
      </c>
      <c r="K32" s="257"/>
      <c r="L32" s="23" t="s">
        <v>102</v>
      </c>
      <c r="M32" s="424"/>
      <c r="N32" s="425"/>
      <c r="O32" s="27"/>
      <c r="P32" s="456" t="s">
        <v>59</v>
      </c>
      <c r="Q32" s="257"/>
      <c r="R32" s="23" t="s">
        <v>102</v>
      </c>
    </row>
    <row r="33" spans="2:18">
      <c r="B33" s="150"/>
      <c r="C33" s="139"/>
      <c r="D33" s="157"/>
      <c r="E33" s="155"/>
      <c r="F33" s="7"/>
      <c r="G33" s="456" t="s">
        <v>48</v>
      </c>
      <c r="H33" s="257"/>
      <c r="I33" s="23">
        <v>0.5</v>
      </c>
      <c r="J33" s="456" t="s">
        <v>48</v>
      </c>
      <c r="K33" s="257"/>
      <c r="L33" s="23">
        <v>1</v>
      </c>
      <c r="M33" s="154" t="s">
        <v>108</v>
      </c>
      <c r="N33" s="155"/>
      <c r="O33" s="7">
        <v>0.5</v>
      </c>
      <c r="P33" s="456" t="s">
        <v>48</v>
      </c>
      <c r="Q33" s="257"/>
      <c r="R33" s="23" t="s">
        <v>102</v>
      </c>
    </row>
    <row r="34" spans="2:18">
      <c r="B34" s="150"/>
      <c r="C34" s="139"/>
      <c r="D34" s="157"/>
      <c r="E34" s="155"/>
      <c r="F34" s="7"/>
      <c r="G34" s="311" t="s">
        <v>109</v>
      </c>
      <c r="H34" s="222"/>
      <c r="I34" s="24">
        <v>0.75</v>
      </c>
      <c r="J34" s="154"/>
      <c r="K34" s="155"/>
      <c r="L34" s="7"/>
      <c r="M34" s="154" t="s">
        <v>63</v>
      </c>
      <c r="N34" s="155"/>
      <c r="O34" s="7">
        <v>0.5</v>
      </c>
      <c r="P34" s="154" t="s">
        <v>64</v>
      </c>
      <c r="Q34" s="155"/>
      <c r="R34" s="7">
        <v>0.5</v>
      </c>
    </row>
    <row r="35" spans="2:18" ht="19.5" thickBot="1">
      <c r="B35" s="150"/>
      <c r="C35" s="140"/>
      <c r="D35" s="161"/>
      <c r="E35" s="159"/>
      <c r="F35" s="9"/>
      <c r="G35" s="161" t="s">
        <v>110</v>
      </c>
      <c r="H35" s="159"/>
      <c r="I35" s="9"/>
      <c r="J35" s="161" t="s">
        <v>110</v>
      </c>
      <c r="K35" s="159"/>
      <c r="L35" s="9"/>
      <c r="M35" s="161" t="s">
        <v>110</v>
      </c>
      <c r="N35" s="159"/>
      <c r="O35" s="9"/>
      <c r="P35" s="161" t="s">
        <v>110</v>
      </c>
      <c r="Q35" s="159"/>
      <c r="R35" s="9"/>
    </row>
    <row r="36" spans="2:18" ht="19.5" thickBot="1">
      <c r="B36" s="151"/>
      <c r="C36" s="18" t="s">
        <v>76</v>
      </c>
      <c r="D36" s="17"/>
      <c r="E36" s="17"/>
      <c r="F36" s="18">
        <f>SUM(F26:F35)</f>
        <v>0</v>
      </c>
      <c r="G36" s="17"/>
      <c r="H36" s="17"/>
      <c r="I36" s="18">
        <f>SUM(I26:I35)</f>
        <v>6.75</v>
      </c>
      <c r="J36" s="17"/>
      <c r="K36" s="17"/>
      <c r="L36" s="18">
        <f>SUM(L26:L35)</f>
        <v>7</v>
      </c>
      <c r="M36" s="17"/>
      <c r="N36" s="17"/>
      <c r="O36" s="18">
        <f>SUM(O26:O35)</f>
        <v>5.5</v>
      </c>
      <c r="P36" s="17"/>
      <c r="Q36" s="17"/>
      <c r="R36" s="18">
        <f>SUM(R26:R35)</f>
        <v>7</v>
      </c>
    </row>
  </sheetData>
  <mergeCells count="185">
    <mergeCell ref="C1:D1"/>
    <mergeCell ref="G1:M1"/>
    <mergeCell ref="P1:R1"/>
    <mergeCell ref="B2:C3"/>
    <mergeCell ref="D2:D3"/>
    <mergeCell ref="E2:E3"/>
    <mergeCell ref="F2:F3"/>
    <mergeCell ref="G2:G3"/>
    <mergeCell ref="H2:H3"/>
    <mergeCell ref="I2:I3"/>
    <mergeCell ref="P2:P3"/>
    <mergeCell ref="Q2:Q3"/>
    <mergeCell ref="R2:R3"/>
    <mergeCell ref="B4:B14"/>
    <mergeCell ref="C4:C8"/>
    <mergeCell ref="D4:E4"/>
    <mergeCell ref="G4:H4"/>
    <mergeCell ref="J4:K4"/>
    <mergeCell ref="M4:N4"/>
    <mergeCell ref="P4:Q4"/>
    <mergeCell ref="J2:J3"/>
    <mergeCell ref="K2:K3"/>
    <mergeCell ref="L2:L3"/>
    <mergeCell ref="M2:M3"/>
    <mergeCell ref="N2:N3"/>
    <mergeCell ref="O2:O3"/>
    <mergeCell ref="D6:E6"/>
    <mergeCell ref="G6:H6"/>
    <mergeCell ref="J6:K6"/>
    <mergeCell ref="M6:N6"/>
    <mergeCell ref="P6:Q6"/>
    <mergeCell ref="D8:E8"/>
    <mergeCell ref="G8:H8"/>
    <mergeCell ref="J8:K8"/>
    <mergeCell ref="M8:N8"/>
    <mergeCell ref="P8:Q8"/>
    <mergeCell ref="M10:N10"/>
    <mergeCell ref="S6:T6"/>
    <mergeCell ref="S4:T4"/>
    <mergeCell ref="D5:E5"/>
    <mergeCell ref="G5:H5"/>
    <mergeCell ref="J5:K5"/>
    <mergeCell ref="M5:N5"/>
    <mergeCell ref="P5:Q5"/>
    <mergeCell ref="S5:T5"/>
    <mergeCell ref="D7:E7"/>
    <mergeCell ref="G7:H7"/>
    <mergeCell ref="J7:K7"/>
    <mergeCell ref="M7:N7"/>
    <mergeCell ref="P7:Q7"/>
    <mergeCell ref="P10:Q10"/>
    <mergeCell ref="D11:E11"/>
    <mergeCell ref="G11:H11"/>
    <mergeCell ref="J11:K11"/>
    <mergeCell ref="M11:N11"/>
    <mergeCell ref="P11:Q11"/>
    <mergeCell ref="S8:T8"/>
    <mergeCell ref="C9:C13"/>
    <mergeCell ref="D9:E9"/>
    <mergeCell ref="G9:H9"/>
    <mergeCell ref="J9:K9"/>
    <mergeCell ref="M9:N9"/>
    <mergeCell ref="P9:Q9"/>
    <mergeCell ref="D10:E10"/>
    <mergeCell ref="G10:H10"/>
    <mergeCell ref="J10:K10"/>
    <mergeCell ref="D13:E13"/>
    <mergeCell ref="G13:H13"/>
    <mergeCell ref="J13:K13"/>
    <mergeCell ref="M13:N13"/>
    <mergeCell ref="P13:Q13"/>
    <mergeCell ref="S13:T13"/>
    <mergeCell ref="S11:T11"/>
    <mergeCell ref="D12:E12"/>
    <mergeCell ref="G12:H12"/>
    <mergeCell ref="J12:K12"/>
    <mergeCell ref="M12:N12"/>
    <mergeCell ref="P12:Q12"/>
    <mergeCell ref="S12:T12"/>
    <mergeCell ref="P17:Q17"/>
    <mergeCell ref="D18:E18"/>
    <mergeCell ref="G18:H18"/>
    <mergeCell ref="J18:K18"/>
    <mergeCell ref="M18:N18"/>
    <mergeCell ref="P18:Q18"/>
    <mergeCell ref="P15:Q15"/>
    <mergeCell ref="D16:E16"/>
    <mergeCell ref="G16:H16"/>
    <mergeCell ref="J16:K16"/>
    <mergeCell ref="M16:N16"/>
    <mergeCell ref="P16:Q16"/>
    <mergeCell ref="D15:E15"/>
    <mergeCell ref="G15:H15"/>
    <mergeCell ref="J15:K15"/>
    <mergeCell ref="M15:N15"/>
    <mergeCell ref="D17:E17"/>
    <mergeCell ref="G17:H17"/>
    <mergeCell ref="J17:K17"/>
    <mergeCell ref="M17:N17"/>
    <mergeCell ref="P20:Q20"/>
    <mergeCell ref="D21:E21"/>
    <mergeCell ref="G21:H21"/>
    <mergeCell ref="J21:K21"/>
    <mergeCell ref="M21:N21"/>
    <mergeCell ref="P21:Q21"/>
    <mergeCell ref="D19:E19"/>
    <mergeCell ref="G19:H19"/>
    <mergeCell ref="J19:K19"/>
    <mergeCell ref="M19:N19"/>
    <mergeCell ref="P19:Q19"/>
    <mergeCell ref="D20:E20"/>
    <mergeCell ref="G20:H20"/>
    <mergeCell ref="J20:K20"/>
    <mergeCell ref="M20:N20"/>
    <mergeCell ref="D22:E22"/>
    <mergeCell ref="G22:H22"/>
    <mergeCell ref="J22:K22"/>
    <mergeCell ref="M22:N22"/>
    <mergeCell ref="P22:Q22"/>
    <mergeCell ref="D23:E23"/>
    <mergeCell ref="G23:H23"/>
    <mergeCell ref="J23:K23"/>
    <mergeCell ref="M23:N23"/>
    <mergeCell ref="P23:Q23"/>
    <mergeCell ref="D24:E24"/>
    <mergeCell ref="G24:H24"/>
    <mergeCell ref="J24:K24"/>
    <mergeCell ref="M24:N24"/>
    <mergeCell ref="P24:Q24"/>
    <mergeCell ref="B26:B36"/>
    <mergeCell ref="C26:C30"/>
    <mergeCell ref="D26:E26"/>
    <mergeCell ref="G26:H26"/>
    <mergeCell ref="J26:K26"/>
    <mergeCell ref="C20:C24"/>
    <mergeCell ref="B15:B25"/>
    <mergeCell ref="C15:C19"/>
    <mergeCell ref="P28:Q28"/>
    <mergeCell ref="D29:E29"/>
    <mergeCell ref="G29:H29"/>
    <mergeCell ref="J29:K29"/>
    <mergeCell ref="M29:N29"/>
    <mergeCell ref="P29:Q29"/>
    <mergeCell ref="M26:N26"/>
    <mergeCell ref="P26:Q26"/>
    <mergeCell ref="D27:E27"/>
    <mergeCell ref="G27:H27"/>
    <mergeCell ref="J27:K27"/>
    <mergeCell ref="M27:N27"/>
    <mergeCell ref="P27:Q27"/>
    <mergeCell ref="C31:C35"/>
    <mergeCell ref="D31:E31"/>
    <mergeCell ref="G31:H31"/>
    <mergeCell ref="J31:K31"/>
    <mergeCell ref="M31:N31"/>
    <mergeCell ref="D28:E28"/>
    <mergeCell ref="G28:H28"/>
    <mergeCell ref="J28:K28"/>
    <mergeCell ref="M28:N28"/>
    <mergeCell ref="P31:Q31"/>
    <mergeCell ref="D32:E32"/>
    <mergeCell ref="G32:H32"/>
    <mergeCell ref="J32:K32"/>
    <mergeCell ref="M32:N32"/>
    <mergeCell ref="P32:Q32"/>
    <mergeCell ref="D30:E30"/>
    <mergeCell ref="G30:H30"/>
    <mergeCell ref="J30:K30"/>
    <mergeCell ref="M30:N30"/>
    <mergeCell ref="P30:Q30"/>
    <mergeCell ref="D35:E35"/>
    <mergeCell ref="G35:H35"/>
    <mergeCell ref="J35:K35"/>
    <mergeCell ref="M35:N35"/>
    <mergeCell ref="P35:Q35"/>
    <mergeCell ref="D33:E33"/>
    <mergeCell ref="G33:H33"/>
    <mergeCell ref="J33:K33"/>
    <mergeCell ref="M33:N33"/>
    <mergeCell ref="P33:Q33"/>
    <mergeCell ref="D34:E34"/>
    <mergeCell ref="G34:H34"/>
    <mergeCell ref="J34:K34"/>
    <mergeCell ref="M34:N34"/>
    <mergeCell ref="P34:Q34"/>
  </mergeCells>
  <phoneticPr fontId="1"/>
  <pageMargins left="0.7" right="0.7" top="0.75" bottom="0.75" header="0.3" footer="0.3"/>
  <pageSetup paperSize="8" orientation="landscape" horizontalDpi="1200" verticalDpi="12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2"/>
  <dimension ref="B1:T36"/>
  <sheetViews>
    <sheetView workbookViewId="0">
      <selection activeCell="R44" sqref="R44"/>
    </sheetView>
  </sheetViews>
  <sheetFormatPr defaultRowHeight="18.75"/>
  <cols>
    <col min="1" max="1" width="2.5" customWidth="1"/>
    <col min="4" max="5" width="11.25" customWidth="1"/>
    <col min="6" max="6" width="8.75" customWidth="1"/>
    <col min="7" max="8" width="11.25" customWidth="1"/>
    <col min="9" max="9" width="8.75" customWidth="1"/>
    <col min="10" max="11" width="11.25" customWidth="1"/>
    <col min="12" max="12" width="8.75" customWidth="1"/>
    <col min="13" max="14" width="11.25" customWidth="1"/>
    <col min="15" max="15" width="8.75" customWidth="1"/>
    <col min="16" max="17" width="11.25" customWidth="1"/>
    <col min="18" max="18" width="8.75" customWidth="1"/>
  </cols>
  <sheetData>
    <row r="1" spans="2:20" ht="24.75" thickBot="1">
      <c r="C1" s="448">
        <v>45478</v>
      </c>
      <c r="D1" s="448"/>
      <c r="E1" s="1" t="s">
        <v>0</v>
      </c>
      <c r="F1" s="2"/>
      <c r="G1" s="199" t="s">
        <v>1</v>
      </c>
      <c r="H1" s="199"/>
      <c r="I1" s="199"/>
      <c r="J1" s="199"/>
      <c r="K1" s="199"/>
      <c r="L1" s="199"/>
      <c r="M1" s="199"/>
      <c r="N1" s="3"/>
      <c r="O1" s="4"/>
      <c r="P1" s="449" t="s">
        <v>2</v>
      </c>
      <c r="Q1" s="449"/>
      <c r="R1" s="449"/>
    </row>
    <row r="2" spans="2:20" s="5" customFormat="1">
      <c r="B2" s="201"/>
      <c r="C2" s="202"/>
      <c r="D2" s="450">
        <v>8</v>
      </c>
      <c r="E2" s="195" t="s">
        <v>3</v>
      </c>
      <c r="F2" s="191" t="s">
        <v>4</v>
      </c>
      <c r="G2" s="438">
        <f>D2+1</f>
        <v>9</v>
      </c>
      <c r="H2" s="195" t="s">
        <v>5</v>
      </c>
      <c r="I2" s="191" t="s">
        <v>4</v>
      </c>
      <c r="J2" s="438">
        <f>G2+1</f>
        <v>10</v>
      </c>
      <c r="K2" s="195" t="s">
        <v>6</v>
      </c>
      <c r="L2" s="191" t="s">
        <v>4</v>
      </c>
      <c r="M2" s="438">
        <f t="shared" ref="M2" si="0">J2+1</f>
        <v>11</v>
      </c>
      <c r="N2" s="195" t="s">
        <v>7</v>
      </c>
      <c r="O2" s="191" t="s">
        <v>4</v>
      </c>
      <c r="P2" s="438">
        <f t="shared" ref="P2" si="1">M2+1</f>
        <v>12</v>
      </c>
      <c r="Q2" s="195" t="s">
        <v>8</v>
      </c>
      <c r="R2" s="191" t="s">
        <v>4</v>
      </c>
    </row>
    <row r="3" spans="2:20" ht="19.5" thickBot="1">
      <c r="B3" s="203"/>
      <c r="C3" s="204"/>
      <c r="D3" s="451"/>
      <c r="E3" s="196"/>
      <c r="F3" s="192"/>
      <c r="G3" s="198"/>
      <c r="H3" s="196"/>
      <c r="I3" s="192"/>
      <c r="J3" s="198"/>
      <c r="K3" s="196"/>
      <c r="L3" s="192"/>
      <c r="M3" s="198"/>
      <c r="N3" s="196"/>
      <c r="O3" s="192"/>
      <c r="P3" s="198"/>
      <c r="Q3" s="196"/>
      <c r="R3" s="192"/>
    </row>
    <row r="4" spans="2:20" ht="18.75" customHeight="1">
      <c r="B4" s="303" t="s">
        <v>31</v>
      </c>
      <c r="C4" s="138" t="s">
        <v>9</v>
      </c>
      <c r="D4" s="264" t="s">
        <v>67</v>
      </c>
      <c r="E4" s="153"/>
      <c r="F4" s="6">
        <v>0.5</v>
      </c>
      <c r="G4" s="264" t="s">
        <v>67</v>
      </c>
      <c r="H4" s="153"/>
      <c r="I4" s="6">
        <v>0.5</v>
      </c>
      <c r="J4" s="264" t="s">
        <v>67</v>
      </c>
      <c r="K4" s="153"/>
      <c r="L4" s="6">
        <v>0.5</v>
      </c>
      <c r="M4" s="264" t="s">
        <v>67</v>
      </c>
      <c r="N4" s="153"/>
      <c r="O4" s="6">
        <v>0.5</v>
      </c>
      <c r="P4" s="264" t="s">
        <v>67</v>
      </c>
      <c r="Q4" s="153"/>
      <c r="R4" s="6">
        <v>0.5</v>
      </c>
      <c r="S4" s="211"/>
      <c r="T4" s="211"/>
    </row>
    <row r="5" spans="2:20">
      <c r="B5" s="304"/>
      <c r="C5" s="139"/>
      <c r="D5" s="157" t="s">
        <v>71</v>
      </c>
      <c r="E5" s="155"/>
      <c r="F5" s="7">
        <v>0.1</v>
      </c>
      <c r="G5" s="157" t="s">
        <v>71</v>
      </c>
      <c r="H5" s="155"/>
      <c r="I5" s="7">
        <v>0.1</v>
      </c>
      <c r="J5" s="157" t="s">
        <v>71</v>
      </c>
      <c r="K5" s="155"/>
      <c r="L5" s="7">
        <v>0.1</v>
      </c>
      <c r="M5" s="157" t="s">
        <v>71</v>
      </c>
      <c r="N5" s="155"/>
      <c r="O5" s="7">
        <v>0.1</v>
      </c>
      <c r="P5" s="157" t="s">
        <v>71</v>
      </c>
      <c r="Q5" s="155"/>
      <c r="R5" s="7">
        <v>0.1</v>
      </c>
      <c r="S5" s="211"/>
      <c r="T5" s="211"/>
    </row>
    <row r="6" spans="2:20">
      <c r="B6" s="304"/>
      <c r="C6" s="139"/>
      <c r="D6" s="300" t="s">
        <v>70</v>
      </c>
      <c r="E6" s="155"/>
      <c r="F6" s="7">
        <v>0.1</v>
      </c>
      <c r="G6" s="418" t="s">
        <v>77</v>
      </c>
      <c r="H6" s="419"/>
      <c r="I6" s="15">
        <v>0.5</v>
      </c>
      <c r="J6" s="154" t="s">
        <v>79</v>
      </c>
      <c r="K6" s="155"/>
      <c r="L6" s="7">
        <v>2.4</v>
      </c>
      <c r="M6" s="154" t="s">
        <v>81</v>
      </c>
      <c r="N6" s="155"/>
      <c r="O6" s="7">
        <v>2.4</v>
      </c>
      <c r="P6" s="157" t="s">
        <v>66</v>
      </c>
      <c r="Q6" s="136"/>
      <c r="R6" s="7">
        <v>0.75</v>
      </c>
      <c r="S6" s="212"/>
      <c r="T6" s="212"/>
    </row>
    <row r="7" spans="2:20">
      <c r="B7" s="304"/>
      <c r="C7" s="139"/>
      <c r="D7" s="418" t="s">
        <v>74</v>
      </c>
      <c r="E7" s="419"/>
      <c r="F7" s="15">
        <v>2.2000000000000002</v>
      </c>
      <c r="G7" s="418" t="s">
        <v>74</v>
      </c>
      <c r="H7" s="419"/>
      <c r="I7" s="19">
        <v>2</v>
      </c>
      <c r="J7" s="154"/>
      <c r="K7" s="155"/>
      <c r="L7" s="7"/>
      <c r="M7" s="154"/>
      <c r="N7" s="155"/>
      <c r="O7" s="7"/>
      <c r="P7" s="154"/>
      <c r="Q7" s="155"/>
      <c r="R7" s="7"/>
      <c r="S7" s="8"/>
      <c r="T7" s="8"/>
    </row>
    <row r="8" spans="2:20" ht="19.5" thickBot="1">
      <c r="B8" s="304"/>
      <c r="C8" s="140"/>
      <c r="D8" s="468" t="s">
        <v>87</v>
      </c>
      <c r="E8" s="469"/>
      <c r="F8" s="22">
        <v>0.1</v>
      </c>
      <c r="G8" s="470" t="s">
        <v>85</v>
      </c>
      <c r="H8" s="471"/>
      <c r="I8" s="10">
        <v>0.2</v>
      </c>
      <c r="J8" s="470" t="s">
        <v>19</v>
      </c>
      <c r="K8" s="471"/>
      <c r="L8" s="10">
        <v>0.2</v>
      </c>
      <c r="M8" s="470" t="s">
        <v>86</v>
      </c>
      <c r="N8" s="471"/>
      <c r="O8" s="10">
        <v>0.2</v>
      </c>
      <c r="P8" s="161"/>
      <c r="Q8" s="159"/>
      <c r="R8" s="9"/>
      <c r="S8" s="214"/>
      <c r="T8" s="214"/>
    </row>
    <row r="9" spans="2:20">
      <c r="B9" s="304"/>
      <c r="C9" s="138" t="s">
        <v>20</v>
      </c>
      <c r="D9" s="154" t="s">
        <v>75</v>
      </c>
      <c r="E9" s="155"/>
      <c r="F9" s="16">
        <v>1</v>
      </c>
      <c r="G9" s="418" t="s">
        <v>78</v>
      </c>
      <c r="H9" s="419"/>
      <c r="I9" s="15">
        <v>4.2</v>
      </c>
      <c r="J9" s="154" t="s">
        <v>80</v>
      </c>
      <c r="K9" s="155"/>
      <c r="L9" s="16">
        <v>4.3</v>
      </c>
      <c r="M9" s="418" t="s">
        <v>83</v>
      </c>
      <c r="N9" s="419"/>
      <c r="O9" s="15">
        <v>3.35</v>
      </c>
      <c r="P9" s="418" t="s">
        <v>82</v>
      </c>
      <c r="Q9" s="419"/>
      <c r="R9" s="15">
        <v>0.5</v>
      </c>
      <c r="S9" s="11"/>
      <c r="T9" s="11"/>
    </row>
    <row r="10" spans="2:20">
      <c r="B10" s="304"/>
      <c r="C10" s="139"/>
      <c r="D10" s="467" t="s">
        <v>74</v>
      </c>
      <c r="E10" s="419"/>
      <c r="F10" s="15">
        <v>3.5</v>
      </c>
      <c r="G10" s="154"/>
      <c r="H10" s="155"/>
      <c r="I10" s="7"/>
      <c r="J10" s="154"/>
      <c r="K10" s="155"/>
      <c r="L10" s="7"/>
      <c r="M10" s="154" t="s">
        <v>72</v>
      </c>
      <c r="N10" s="155"/>
      <c r="O10" s="7">
        <v>0.1</v>
      </c>
      <c r="P10" s="418" t="s">
        <v>84</v>
      </c>
      <c r="Q10" s="419"/>
      <c r="R10" s="15">
        <v>5.65</v>
      </c>
      <c r="S10" s="11"/>
      <c r="T10" s="11"/>
    </row>
    <row r="11" spans="2:20">
      <c r="B11" s="304"/>
      <c r="C11" s="139"/>
      <c r="D11" s="300"/>
      <c r="E11" s="155"/>
      <c r="F11" s="7"/>
      <c r="G11" s="154"/>
      <c r="H11" s="155"/>
      <c r="I11" s="7"/>
      <c r="J11" s="154"/>
      <c r="K11" s="155"/>
      <c r="L11" s="7"/>
      <c r="M11" s="154" t="s">
        <v>69</v>
      </c>
      <c r="N11" s="155"/>
      <c r="O11" s="7">
        <v>0.1</v>
      </c>
      <c r="P11" s="154"/>
      <c r="Q11" s="155"/>
      <c r="R11" s="7"/>
      <c r="S11" s="215"/>
      <c r="T11" s="215"/>
    </row>
    <row r="12" spans="2:20">
      <c r="B12" s="304"/>
      <c r="C12" s="139"/>
      <c r="D12" s="300"/>
      <c r="E12" s="155"/>
      <c r="F12" s="7"/>
      <c r="G12" s="154"/>
      <c r="H12" s="155"/>
      <c r="I12" s="7"/>
      <c r="J12" s="154"/>
      <c r="K12" s="155"/>
      <c r="L12" s="7"/>
      <c r="M12" s="154" t="s">
        <v>73</v>
      </c>
      <c r="N12" s="155"/>
      <c r="O12" s="7">
        <v>0.75</v>
      </c>
      <c r="P12" s="154"/>
      <c r="Q12" s="155"/>
      <c r="R12" s="7"/>
      <c r="S12" s="214"/>
      <c r="T12" s="214"/>
    </row>
    <row r="13" spans="2:20" ht="19.5" thickBot="1">
      <c r="B13" s="304"/>
      <c r="C13" s="140"/>
      <c r="D13" s="160" t="s">
        <v>68</v>
      </c>
      <c r="E13" s="159"/>
      <c r="F13" s="9">
        <v>0.25</v>
      </c>
      <c r="G13" s="160" t="s">
        <v>68</v>
      </c>
      <c r="H13" s="159"/>
      <c r="I13" s="9">
        <v>0.25</v>
      </c>
      <c r="J13" s="160" t="s">
        <v>68</v>
      </c>
      <c r="K13" s="159"/>
      <c r="L13" s="9">
        <v>0.25</v>
      </c>
      <c r="M13" s="160" t="s">
        <v>68</v>
      </c>
      <c r="N13" s="159"/>
      <c r="O13" s="9">
        <v>0.25</v>
      </c>
      <c r="P13" s="160" t="s">
        <v>68</v>
      </c>
      <c r="Q13" s="159"/>
      <c r="R13" s="9">
        <v>0.25</v>
      </c>
      <c r="S13" s="215"/>
      <c r="T13" s="215"/>
    </row>
    <row r="14" spans="2:20" ht="19.5" thickBot="1">
      <c r="B14" s="305"/>
      <c r="C14" s="18" t="s">
        <v>76</v>
      </c>
      <c r="D14" s="17"/>
      <c r="E14" s="17"/>
      <c r="F14" s="18">
        <f>SUM(F4:F13)</f>
        <v>7.75</v>
      </c>
      <c r="G14" s="17"/>
      <c r="H14" s="17"/>
      <c r="I14" s="18">
        <f>SUM(I4:I13)</f>
        <v>7.75</v>
      </c>
      <c r="J14" s="17"/>
      <c r="K14" s="17"/>
      <c r="L14" s="18">
        <f>SUM(L4:L13)</f>
        <v>7.75</v>
      </c>
      <c r="M14" s="17"/>
      <c r="N14" s="17"/>
      <c r="O14" s="18">
        <f>SUM(O4:O13)</f>
        <v>7.75</v>
      </c>
      <c r="P14" s="17"/>
      <c r="Q14" s="17"/>
      <c r="R14" s="18">
        <f>SUM(R4:R13)</f>
        <v>7.75</v>
      </c>
    </row>
    <row r="15" spans="2:20" ht="18.75" customHeight="1">
      <c r="B15" s="149" t="s">
        <v>32</v>
      </c>
      <c r="C15" s="138" t="s">
        <v>9</v>
      </c>
      <c r="D15" s="264" t="s">
        <v>10</v>
      </c>
      <c r="E15" s="153"/>
      <c r="F15" s="6">
        <v>0.5</v>
      </c>
      <c r="G15" s="264" t="s">
        <v>10</v>
      </c>
      <c r="H15" s="153"/>
      <c r="I15" s="6">
        <v>0.5</v>
      </c>
      <c r="J15" s="264" t="s">
        <v>10</v>
      </c>
      <c r="K15" s="153"/>
      <c r="L15" s="6">
        <v>0.5</v>
      </c>
      <c r="M15" s="264" t="s">
        <v>10</v>
      </c>
      <c r="N15" s="153"/>
      <c r="O15" s="6">
        <v>0.5</v>
      </c>
      <c r="P15" s="264" t="s">
        <v>10</v>
      </c>
      <c r="Q15" s="153"/>
      <c r="R15" s="6">
        <v>0.5</v>
      </c>
    </row>
    <row r="16" spans="2:20">
      <c r="B16" s="150"/>
      <c r="C16" s="139"/>
      <c r="D16" s="300" t="s">
        <v>11</v>
      </c>
      <c r="E16" s="155"/>
      <c r="F16" s="7">
        <v>0.2</v>
      </c>
      <c r="G16" s="157" t="s">
        <v>11</v>
      </c>
      <c r="H16" s="155"/>
      <c r="I16" s="7">
        <v>0.2</v>
      </c>
      <c r="J16" s="157" t="s">
        <v>11</v>
      </c>
      <c r="K16" s="155"/>
      <c r="L16" s="7">
        <v>0.2</v>
      </c>
      <c r="M16" s="157" t="s">
        <v>11</v>
      </c>
      <c r="N16" s="155"/>
      <c r="O16" s="7">
        <v>0.2</v>
      </c>
      <c r="P16" s="157" t="s">
        <v>11</v>
      </c>
      <c r="Q16" s="155"/>
      <c r="R16" s="7">
        <v>0.2</v>
      </c>
    </row>
    <row r="17" spans="2:18">
      <c r="B17" s="150"/>
      <c r="C17" s="139"/>
      <c r="D17" s="418" t="s">
        <v>12</v>
      </c>
      <c r="E17" s="419"/>
      <c r="F17" s="15">
        <v>2.8</v>
      </c>
      <c r="G17" s="418" t="s">
        <v>13</v>
      </c>
      <c r="H17" s="419"/>
      <c r="I17" s="15">
        <v>2.6</v>
      </c>
      <c r="J17" s="418" t="s">
        <v>14</v>
      </c>
      <c r="K17" s="419"/>
      <c r="L17" s="15">
        <v>0.3</v>
      </c>
      <c r="M17" s="418" t="s">
        <v>15</v>
      </c>
      <c r="N17" s="419"/>
      <c r="O17" s="15">
        <v>2.6</v>
      </c>
      <c r="P17" s="157" t="s">
        <v>16</v>
      </c>
      <c r="Q17" s="155"/>
      <c r="R17" s="7">
        <v>0.5</v>
      </c>
    </row>
    <row r="18" spans="2:18">
      <c r="B18" s="150"/>
      <c r="C18" s="139"/>
      <c r="D18" s="300"/>
      <c r="E18" s="155"/>
      <c r="F18" s="7"/>
      <c r="G18" s="300"/>
      <c r="H18" s="155"/>
      <c r="I18" s="7"/>
      <c r="J18" s="418" t="s">
        <v>17</v>
      </c>
      <c r="K18" s="419"/>
      <c r="L18" s="15">
        <v>2.2999999999999998</v>
      </c>
      <c r="M18" s="300"/>
      <c r="N18" s="155"/>
      <c r="O18" s="7"/>
      <c r="P18" s="418" t="s">
        <v>18</v>
      </c>
      <c r="Q18" s="419"/>
      <c r="R18" s="15">
        <v>2.2999999999999998</v>
      </c>
    </row>
    <row r="19" spans="2:18" ht="19.5" thickBot="1">
      <c r="B19" s="150"/>
      <c r="C19" s="140"/>
      <c r="D19" s="160"/>
      <c r="E19" s="159"/>
      <c r="F19" s="9"/>
      <c r="G19" s="470" t="s">
        <v>85</v>
      </c>
      <c r="H19" s="471"/>
      <c r="I19" s="10">
        <v>0.2</v>
      </c>
      <c r="J19" s="470" t="s">
        <v>19</v>
      </c>
      <c r="K19" s="471"/>
      <c r="L19" s="10">
        <v>0.2</v>
      </c>
      <c r="M19" s="470" t="s">
        <v>86</v>
      </c>
      <c r="N19" s="471"/>
      <c r="O19" s="10">
        <v>0.2</v>
      </c>
      <c r="P19" s="161"/>
      <c r="Q19" s="159"/>
      <c r="R19" s="9"/>
    </row>
    <row r="20" spans="2:18">
      <c r="B20" s="150"/>
      <c r="C20" s="138" t="s">
        <v>20</v>
      </c>
      <c r="D20" s="418" t="s">
        <v>21</v>
      </c>
      <c r="E20" s="419"/>
      <c r="F20" s="15">
        <v>3</v>
      </c>
      <c r="G20" s="418" t="s">
        <v>22</v>
      </c>
      <c r="H20" s="419"/>
      <c r="I20" s="15">
        <v>1.5</v>
      </c>
      <c r="J20" s="418" t="s">
        <v>23</v>
      </c>
      <c r="K20" s="419"/>
      <c r="L20" s="15">
        <v>3.5</v>
      </c>
      <c r="M20" s="154" t="s">
        <v>24</v>
      </c>
      <c r="N20" s="155"/>
      <c r="O20" s="7">
        <v>0.5</v>
      </c>
      <c r="P20" s="154" t="s">
        <v>25</v>
      </c>
      <c r="Q20" s="155"/>
      <c r="R20" s="7">
        <v>3.5</v>
      </c>
    </row>
    <row r="21" spans="2:18">
      <c r="B21" s="150"/>
      <c r="C21" s="139"/>
      <c r="D21" s="418" t="s">
        <v>26</v>
      </c>
      <c r="E21" s="419"/>
      <c r="F21" s="15">
        <v>0.5</v>
      </c>
      <c r="G21" s="418" t="s">
        <v>27</v>
      </c>
      <c r="H21" s="419"/>
      <c r="I21" s="15">
        <v>0.5</v>
      </c>
      <c r="J21" s="154"/>
      <c r="K21" s="155"/>
      <c r="L21" s="7"/>
      <c r="M21" s="418" t="s">
        <v>28</v>
      </c>
      <c r="N21" s="419"/>
      <c r="O21" s="15">
        <v>3</v>
      </c>
      <c r="P21" s="154"/>
      <c r="Q21" s="155"/>
      <c r="R21" s="7"/>
    </row>
    <row r="22" spans="2:18">
      <c r="B22" s="150"/>
      <c r="C22" s="139"/>
      <c r="D22" s="300"/>
      <c r="E22" s="155"/>
      <c r="F22" s="7"/>
      <c r="G22" s="418" t="s">
        <v>29</v>
      </c>
      <c r="H22" s="419"/>
      <c r="I22" s="15">
        <v>1.5</v>
      </c>
      <c r="J22" s="154"/>
      <c r="K22" s="155"/>
      <c r="L22" s="7"/>
      <c r="M22" s="154"/>
      <c r="N22" s="155"/>
      <c r="O22" s="7"/>
      <c r="P22" s="154"/>
      <c r="Q22" s="155"/>
      <c r="R22" s="7"/>
    </row>
    <row r="23" spans="2:18">
      <c r="B23" s="150"/>
      <c r="C23" s="139"/>
      <c r="D23" s="300"/>
      <c r="E23" s="155"/>
      <c r="F23" s="7"/>
      <c r="G23" s="154"/>
      <c r="H23" s="155"/>
      <c r="I23" s="7"/>
      <c r="J23" s="154"/>
      <c r="K23" s="155"/>
      <c r="L23" s="7"/>
      <c r="M23" s="154"/>
      <c r="N23" s="155"/>
      <c r="O23" s="7"/>
      <c r="P23" s="154"/>
      <c r="Q23" s="155"/>
      <c r="R23" s="7"/>
    </row>
    <row r="24" spans="2:18" ht="19.5" thickBot="1">
      <c r="B24" s="150"/>
      <c r="C24" s="140"/>
      <c r="D24" s="160" t="s">
        <v>30</v>
      </c>
      <c r="E24" s="159"/>
      <c r="F24" s="9">
        <v>0.75</v>
      </c>
      <c r="G24" s="160" t="s">
        <v>30</v>
      </c>
      <c r="H24" s="159"/>
      <c r="I24" s="9">
        <v>0.75</v>
      </c>
      <c r="J24" s="160" t="s">
        <v>30</v>
      </c>
      <c r="K24" s="159"/>
      <c r="L24" s="9">
        <v>0.75</v>
      </c>
      <c r="M24" s="160" t="s">
        <v>30</v>
      </c>
      <c r="N24" s="159"/>
      <c r="O24" s="9">
        <v>0.75</v>
      </c>
      <c r="P24" s="160" t="s">
        <v>30</v>
      </c>
      <c r="Q24" s="159"/>
      <c r="R24" s="9">
        <v>0.75</v>
      </c>
    </row>
    <row r="25" spans="2:18" ht="19.5" thickBot="1">
      <c r="B25" s="151"/>
      <c r="C25" s="18" t="s">
        <v>76</v>
      </c>
      <c r="D25" s="17"/>
      <c r="E25" s="17"/>
      <c r="F25" s="18">
        <f>SUM(F15:F24)</f>
        <v>7.75</v>
      </c>
      <c r="G25" s="17"/>
      <c r="H25" s="17"/>
      <c r="I25" s="18">
        <f>SUM(I15:I24)</f>
        <v>7.75</v>
      </c>
      <c r="J25" s="17"/>
      <c r="K25" s="17"/>
      <c r="L25" s="18">
        <f>SUM(L15:L24)</f>
        <v>7.75</v>
      </c>
      <c r="M25" s="17"/>
      <c r="N25" s="17"/>
      <c r="O25" s="18">
        <f>SUM(O15:O24)</f>
        <v>7.75</v>
      </c>
      <c r="P25" s="17"/>
      <c r="Q25" s="17"/>
      <c r="R25" s="18">
        <f>SUM(R15:R24)</f>
        <v>7.75</v>
      </c>
    </row>
    <row r="26" spans="2:18" ht="18.75" customHeight="1">
      <c r="B26" s="149" t="s">
        <v>65</v>
      </c>
      <c r="C26" s="138" t="s">
        <v>9</v>
      </c>
      <c r="D26" s="152" t="s">
        <v>33</v>
      </c>
      <c r="E26" s="153"/>
      <c r="F26" s="6">
        <v>0.5</v>
      </c>
      <c r="G26" s="156" t="s">
        <v>34</v>
      </c>
      <c r="H26" s="153"/>
      <c r="I26" s="6">
        <v>0.5</v>
      </c>
      <c r="J26" s="156" t="s">
        <v>35</v>
      </c>
      <c r="K26" s="153"/>
      <c r="L26" s="6" t="s">
        <v>36</v>
      </c>
      <c r="M26" s="156" t="s">
        <v>35</v>
      </c>
      <c r="N26" s="153"/>
      <c r="O26" s="6" t="s">
        <v>36</v>
      </c>
      <c r="P26" s="156" t="s">
        <v>37</v>
      </c>
      <c r="Q26" s="153"/>
      <c r="R26" s="6" t="s">
        <v>38</v>
      </c>
    </row>
    <row r="27" spans="2:18">
      <c r="B27" s="150"/>
      <c r="C27" s="139"/>
      <c r="D27" s="162" t="s">
        <v>39</v>
      </c>
      <c r="E27" s="163"/>
      <c r="F27" s="20">
        <v>2</v>
      </c>
      <c r="G27" s="154" t="s">
        <v>40</v>
      </c>
      <c r="H27" s="155"/>
      <c r="I27" s="7">
        <v>0.5</v>
      </c>
      <c r="J27" s="472" t="s">
        <v>41</v>
      </c>
      <c r="K27" s="473"/>
      <c r="L27" s="13">
        <v>5</v>
      </c>
      <c r="M27" s="154" t="s">
        <v>42</v>
      </c>
      <c r="N27" s="155"/>
      <c r="O27" s="7">
        <v>0.5</v>
      </c>
      <c r="P27" s="154" t="s">
        <v>60</v>
      </c>
      <c r="Q27" s="155"/>
      <c r="R27" s="7">
        <v>2.5</v>
      </c>
    </row>
    <row r="28" spans="2:18">
      <c r="B28" s="150"/>
      <c r="C28" s="139"/>
      <c r="D28" s="162" t="s">
        <v>43</v>
      </c>
      <c r="E28" s="163"/>
      <c r="F28" s="20">
        <v>2</v>
      </c>
      <c r="G28" s="216" t="s">
        <v>44</v>
      </c>
      <c r="H28" s="163"/>
      <c r="I28" s="20">
        <v>1</v>
      </c>
      <c r="J28" s="154" t="s">
        <v>45</v>
      </c>
      <c r="K28" s="155"/>
      <c r="L28" s="7">
        <v>1</v>
      </c>
      <c r="M28" s="216" t="s">
        <v>45</v>
      </c>
      <c r="N28" s="163"/>
      <c r="O28" s="20">
        <v>1.5</v>
      </c>
      <c r="P28" s="154"/>
      <c r="Q28" s="155"/>
      <c r="R28" s="7"/>
    </row>
    <row r="29" spans="2:18">
      <c r="B29" s="150"/>
      <c r="C29" s="139"/>
      <c r="D29" s="157" t="s">
        <v>46</v>
      </c>
      <c r="E29" s="155"/>
      <c r="F29" s="7">
        <v>1</v>
      </c>
      <c r="G29" s="154"/>
      <c r="H29" s="155"/>
      <c r="I29" s="12"/>
      <c r="J29" s="154" t="s">
        <v>47</v>
      </c>
      <c r="K29" s="155"/>
      <c r="L29" s="12">
        <v>0.5</v>
      </c>
      <c r="M29" s="154" t="s">
        <v>48</v>
      </c>
      <c r="N29" s="155"/>
      <c r="O29" s="7">
        <v>0.5</v>
      </c>
      <c r="P29" s="154"/>
      <c r="Q29" s="155"/>
      <c r="R29" s="7"/>
    </row>
    <row r="30" spans="2:18" ht="19.5" thickBot="1">
      <c r="B30" s="150"/>
      <c r="C30" s="140"/>
      <c r="D30" s="158" t="s">
        <v>49</v>
      </c>
      <c r="E30" s="159"/>
      <c r="F30" s="9"/>
      <c r="G30" s="161"/>
      <c r="H30" s="159"/>
      <c r="I30" s="9"/>
      <c r="J30" s="161" t="s">
        <v>50</v>
      </c>
      <c r="K30" s="159"/>
      <c r="L30" s="9">
        <v>0.5</v>
      </c>
      <c r="M30" s="161" t="s">
        <v>51</v>
      </c>
      <c r="N30" s="159"/>
      <c r="O30" s="9">
        <v>0.5</v>
      </c>
      <c r="P30" s="161"/>
      <c r="Q30" s="159"/>
      <c r="R30" s="9"/>
    </row>
    <row r="31" spans="2:18">
      <c r="B31" s="150"/>
      <c r="C31" s="138" t="s">
        <v>20</v>
      </c>
      <c r="D31" s="310" t="s">
        <v>52</v>
      </c>
      <c r="E31" s="220"/>
      <c r="F31" s="21">
        <v>0.5</v>
      </c>
      <c r="G31" s="474" t="s">
        <v>53</v>
      </c>
      <c r="H31" s="475"/>
      <c r="I31" s="13">
        <v>4</v>
      </c>
      <c r="J31" s="216" t="s">
        <v>54</v>
      </c>
      <c r="K31" s="163"/>
      <c r="L31" s="7">
        <v>0.25</v>
      </c>
      <c r="M31" s="154" t="s">
        <v>55</v>
      </c>
      <c r="N31" s="155"/>
      <c r="O31" s="7">
        <v>1.25</v>
      </c>
      <c r="P31" s="476" t="s">
        <v>56</v>
      </c>
      <c r="Q31" s="477"/>
      <c r="R31" s="14">
        <v>4</v>
      </c>
    </row>
    <row r="32" spans="2:18">
      <c r="B32" s="150"/>
      <c r="C32" s="139"/>
      <c r="D32" s="162" t="s">
        <v>57</v>
      </c>
      <c r="E32" s="163"/>
      <c r="F32" s="20">
        <v>0.5</v>
      </c>
      <c r="G32" s="154" t="s">
        <v>58</v>
      </c>
      <c r="H32" s="155"/>
      <c r="I32" s="7">
        <v>0.75</v>
      </c>
      <c r="J32" s="154" t="s">
        <v>59</v>
      </c>
      <c r="K32" s="155"/>
      <c r="L32" s="7">
        <v>0.5</v>
      </c>
      <c r="M32" s="154" t="s">
        <v>60</v>
      </c>
      <c r="N32" s="155"/>
      <c r="O32" s="7">
        <v>2.5</v>
      </c>
      <c r="P32" s="154" t="s">
        <v>61</v>
      </c>
      <c r="Q32" s="155"/>
      <c r="R32" s="7">
        <v>0.5</v>
      </c>
    </row>
    <row r="33" spans="2:18">
      <c r="B33" s="150"/>
      <c r="C33" s="139"/>
      <c r="D33" s="157" t="s">
        <v>59</v>
      </c>
      <c r="E33" s="155"/>
      <c r="F33" s="7">
        <v>0.25</v>
      </c>
      <c r="G33" s="154" t="s">
        <v>45</v>
      </c>
      <c r="H33" s="155"/>
      <c r="I33" s="7">
        <v>0.5</v>
      </c>
      <c r="J33" s="154"/>
      <c r="K33" s="155"/>
      <c r="L33" s="7"/>
      <c r="M33" s="154" t="s">
        <v>62</v>
      </c>
      <c r="N33" s="155"/>
      <c r="O33" s="7">
        <v>0.5</v>
      </c>
      <c r="P33" s="154" t="s">
        <v>60</v>
      </c>
      <c r="Q33" s="155"/>
      <c r="R33" s="7">
        <v>0.25</v>
      </c>
    </row>
    <row r="34" spans="2:18">
      <c r="B34" s="150"/>
      <c r="C34" s="139"/>
      <c r="D34" s="157" t="s">
        <v>48</v>
      </c>
      <c r="E34" s="155"/>
      <c r="F34" s="7">
        <v>1</v>
      </c>
      <c r="G34" s="154" t="s">
        <v>48</v>
      </c>
      <c r="H34" s="155"/>
      <c r="I34" s="7">
        <v>0.5</v>
      </c>
      <c r="J34" s="154"/>
      <c r="K34" s="155"/>
      <c r="L34" s="7"/>
      <c r="M34" s="154" t="s">
        <v>63</v>
      </c>
      <c r="N34" s="155"/>
      <c r="O34" s="7">
        <v>0.5</v>
      </c>
      <c r="P34" s="154" t="s">
        <v>64</v>
      </c>
      <c r="Q34" s="155"/>
      <c r="R34" s="7">
        <v>0.5</v>
      </c>
    </row>
    <row r="35" spans="2:18" ht="19.5" thickBot="1">
      <c r="B35" s="150"/>
      <c r="C35" s="140"/>
      <c r="D35" s="161"/>
      <c r="E35" s="159"/>
      <c r="F35" s="9"/>
      <c r="G35" s="161"/>
      <c r="H35" s="159"/>
      <c r="I35" s="9"/>
      <c r="J35" s="161"/>
      <c r="K35" s="159"/>
      <c r="L35" s="9"/>
      <c r="M35" s="161"/>
      <c r="N35" s="159"/>
      <c r="O35" s="9"/>
      <c r="P35" s="161"/>
      <c r="Q35" s="159"/>
      <c r="R35" s="9"/>
    </row>
    <row r="36" spans="2:18" ht="19.5" thickBot="1">
      <c r="B36" s="151"/>
      <c r="C36" s="18" t="s">
        <v>76</v>
      </c>
      <c r="D36" s="17"/>
      <c r="E36" s="17"/>
      <c r="F36" s="18">
        <f>SUM(F26:F35)</f>
        <v>7.75</v>
      </c>
      <c r="G36" s="17"/>
      <c r="H36" s="17"/>
      <c r="I36" s="18">
        <f>SUM(I26:I35)</f>
        <v>7.75</v>
      </c>
      <c r="J36" s="17"/>
      <c r="K36" s="17"/>
      <c r="L36" s="18">
        <f>SUM(L26:L35)</f>
        <v>7.75</v>
      </c>
      <c r="M36" s="17"/>
      <c r="N36" s="17"/>
      <c r="O36" s="18">
        <f>SUM(O26:O35)</f>
        <v>7.75</v>
      </c>
      <c r="P36" s="17"/>
      <c r="Q36" s="17"/>
      <c r="R36" s="18">
        <f>SUM(R26:R35)</f>
        <v>7.75</v>
      </c>
    </row>
  </sheetData>
  <mergeCells count="185">
    <mergeCell ref="B4:B14"/>
    <mergeCell ref="B26:B36"/>
    <mergeCell ref="B15:B25"/>
    <mergeCell ref="D35:E35"/>
    <mergeCell ref="G35:H35"/>
    <mergeCell ref="J35:K35"/>
    <mergeCell ref="M35:N35"/>
    <mergeCell ref="P35:Q35"/>
    <mergeCell ref="C1:D1"/>
    <mergeCell ref="D33:E33"/>
    <mergeCell ref="G33:H33"/>
    <mergeCell ref="J33:K33"/>
    <mergeCell ref="M33:N33"/>
    <mergeCell ref="P33:Q33"/>
    <mergeCell ref="D34:E34"/>
    <mergeCell ref="G34:H34"/>
    <mergeCell ref="J34:K34"/>
    <mergeCell ref="M34:N34"/>
    <mergeCell ref="P34:Q34"/>
    <mergeCell ref="P31:Q31"/>
    <mergeCell ref="D32:E32"/>
    <mergeCell ref="G32:H32"/>
    <mergeCell ref="J32:K32"/>
    <mergeCell ref="M32:N32"/>
    <mergeCell ref="P32:Q32"/>
    <mergeCell ref="D30:E30"/>
    <mergeCell ref="G30:H30"/>
    <mergeCell ref="J30:K30"/>
    <mergeCell ref="M30:N30"/>
    <mergeCell ref="P30:Q30"/>
    <mergeCell ref="C31:C35"/>
    <mergeCell ref="D31:E31"/>
    <mergeCell ref="G31:H31"/>
    <mergeCell ref="J31:K31"/>
    <mergeCell ref="M31:N31"/>
    <mergeCell ref="C26:C30"/>
    <mergeCell ref="M24:N24"/>
    <mergeCell ref="P24:Q24"/>
    <mergeCell ref="P28:Q28"/>
    <mergeCell ref="D29:E29"/>
    <mergeCell ref="G29:H29"/>
    <mergeCell ref="J29:K29"/>
    <mergeCell ref="M29:N29"/>
    <mergeCell ref="P29:Q29"/>
    <mergeCell ref="P26:Q26"/>
    <mergeCell ref="D27:E27"/>
    <mergeCell ref="G27:H27"/>
    <mergeCell ref="J27:K27"/>
    <mergeCell ref="M27:N27"/>
    <mergeCell ref="P27:Q27"/>
    <mergeCell ref="D26:E26"/>
    <mergeCell ref="G26:H26"/>
    <mergeCell ref="J26:K26"/>
    <mergeCell ref="M26:N26"/>
    <mergeCell ref="D28:E28"/>
    <mergeCell ref="G28:H28"/>
    <mergeCell ref="J28:K28"/>
    <mergeCell ref="M28:N28"/>
    <mergeCell ref="P21:Q21"/>
    <mergeCell ref="D22:E22"/>
    <mergeCell ref="G22:H22"/>
    <mergeCell ref="J22:K22"/>
    <mergeCell ref="M22:N22"/>
    <mergeCell ref="P22:Q22"/>
    <mergeCell ref="C20:C24"/>
    <mergeCell ref="D20:E20"/>
    <mergeCell ref="G20:H20"/>
    <mergeCell ref="J20:K20"/>
    <mergeCell ref="M20:N20"/>
    <mergeCell ref="P20:Q20"/>
    <mergeCell ref="D21:E21"/>
    <mergeCell ref="G21:H21"/>
    <mergeCell ref="J21:K21"/>
    <mergeCell ref="M21:N21"/>
    <mergeCell ref="D23:E23"/>
    <mergeCell ref="G23:H23"/>
    <mergeCell ref="J23:K23"/>
    <mergeCell ref="M23:N23"/>
    <mergeCell ref="P23:Q23"/>
    <mergeCell ref="D24:E24"/>
    <mergeCell ref="G24:H24"/>
    <mergeCell ref="J24:K24"/>
    <mergeCell ref="D18:E18"/>
    <mergeCell ref="G18:H18"/>
    <mergeCell ref="J18:K18"/>
    <mergeCell ref="M18:N18"/>
    <mergeCell ref="P18:Q18"/>
    <mergeCell ref="D19:E19"/>
    <mergeCell ref="G19:H19"/>
    <mergeCell ref="J19:K19"/>
    <mergeCell ref="M19:N19"/>
    <mergeCell ref="P19:Q19"/>
    <mergeCell ref="J17:K17"/>
    <mergeCell ref="M17:N17"/>
    <mergeCell ref="P17:Q17"/>
    <mergeCell ref="P1:R1"/>
    <mergeCell ref="D8:E8"/>
    <mergeCell ref="G8:H8"/>
    <mergeCell ref="J8:K8"/>
    <mergeCell ref="M8:N8"/>
    <mergeCell ref="P8:Q8"/>
    <mergeCell ref="G1:M1"/>
    <mergeCell ref="E2:E3"/>
    <mergeCell ref="F2:F3"/>
    <mergeCell ref="G2:G3"/>
    <mergeCell ref="H2:H3"/>
    <mergeCell ref="I2:I3"/>
    <mergeCell ref="J2:J3"/>
    <mergeCell ref="K2:K3"/>
    <mergeCell ref="C15:C19"/>
    <mergeCell ref="D15:E15"/>
    <mergeCell ref="G15:H15"/>
    <mergeCell ref="J15:K15"/>
    <mergeCell ref="M15:N15"/>
    <mergeCell ref="P15:Q15"/>
    <mergeCell ref="D16:E16"/>
    <mergeCell ref="G16:H16"/>
    <mergeCell ref="D13:E13"/>
    <mergeCell ref="G13:H13"/>
    <mergeCell ref="J13:K13"/>
    <mergeCell ref="M13:N13"/>
    <mergeCell ref="P13:Q13"/>
    <mergeCell ref="C9:C13"/>
    <mergeCell ref="D9:E9"/>
    <mergeCell ref="G9:H9"/>
    <mergeCell ref="J9:K9"/>
    <mergeCell ref="M9:N9"/>
    <mergeCell ref="P9:Q9"/>
    <mergeCell ref="J16:K16"/>
    <mergeCell ref="M16:N16"/>
    <mergeCell ref="P16:Q16"/>
    <mergeCell ref="D17:E17"/>
    <mergeCell ref="G17:H17"/>
    <mergeCell ref="S13:T13"/>
    <mergeCell ref="S11:T11"/>
    <mergeCell ref="D12:E12"/>
    <mergeCell ref="G12:H12"/>
    <mergeCell ref="J12:K12"/>
    <mergeCell ref="M12:N12"/>
    <mergeCell ref="P12:Q12"/>
    <mergeCell ref="S12:T12"/>
    <mergeCell ref="P10:Q10"/>
    <mergeCell ref="D11:E11"/>
    <mergeCell ref="G11:H11"/>
    <mergeCell ref="J11:K11"/>
    <mergeCell ref="M11:N11"/>
    <mergeCell ref="P11:Q11"/>
    <mergeCell ref="D10:E10"/>
    <mergeCell ref="G10:H10"/>
    <mergeCell ref="J10:K10"/>
    <mergeCell ref="M10:N10"/>
    <mergeCell ref="S8:T8"/>
    <mergeCell ref="J6:K6"/>
    <mergeCell ref="M6:N6"/>
    <mergeCell ref="P6:Q6"/>
    <mergeCell ref="S6:T6"/>
    <mergeCell ref="D7:E7"/>
    <mergeCell ref="G7:H7"/>
    <mergeCell ref="J7:K7"/>
    <mergeCell ref="M7:N7"/>
    <mergeCell ref="P7:Q7"/>
    <mergeCell ref="S4:T4"/>
    <mergeCell ref="D5:E5"/>
    <mergeCell ref="G5:H5"/>
    <mergeCell ref="J5:K5"/>
    <mergeCell ref="M5:N5"/>
    <mergeCell ref="P5:Q5"/>
    <mergeCell ref="S5:T5"/>
    <mergeCell ref="R2:R3"/>
    <mergeCell ref="C4:C8"/>
    <mergeCell ref="D4:E4"/>
    <mergeCell ref="G4:H4"/>
    <mergeCell ref="J4:K4"/>
    <mergeCell ref="M4:N4"/>
    <mergeCell ref="P4:Q4"/>
    <mergeCell ref="D6:E6"/>
    <mergeCell ref="G6:H6"/>
    <mergeCell ref="L2:L3"/>
    <mergeCell ref="M2:M3"/>
    <mergeCell ref="N2:N3"/>
    <mergeCell ref="O2:O3"/>
    <mergeCell ref="P2:P3"/>
    <mergeCell ref="Q2:Q3"/>
    <mergeCell ref="B2:C3"/>
    <mergeCell ref="D2:D3"/>
  </mergeCells>
  <phoneticPr fontId="1"/>
  <pageMargins left="0.7" right="0.7" top="0.75" bottom="0.75" header="0.3" footer="0.3"/>
  <pageSetup paperSize="8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36</vt:i4>
      </vt:variant>
      <vt:variant>
        <vt:lpstr>名前付き一覧</vt:lpstr>
      </vt:variant>
      <vt:variant>
        <vt:i4>35</vt:i4>
      </vt:variant>
    </vt:vector>
  </HeadingPairs>
  <TitlesOfParts>
    <vt:vector size="71" baseType="lpstr">
      <vt:lpstr>0323</vt:lpstr>
      <vt:lpstr>0316</vt:lpstr>
      <vt:lpstr>0309</vt:lpstr>
      <vt:lpstr>0302</vt:lpstr>
      <vt:lpstr>0512</vt:lpstr>
      <vt:lpstr>0505</vt:lpstr>
      <vt:lpstr>0428</vt:lpstr>
      <vt:lpstr>0421</vt:lpstr>
      <vt:lpstr>0414</vt:lpstr>
      <vt:lpstr>0407</vt:lpstr>
      <vt:lpstr>0331</vt:lpstr>
      <vt:lpstr>0324</vt:lpstr>
      <vt:lpstr>0317</vt:lpstr>
      <vt:lpstr>0310</vt:lpstr>
      <vt:lpstr>0303</vt:lpstr>
      <vt:lpstr>0224</vt:lpstr>
      <vt:lpstr>0217</vt:lpstr>
      <vt:lpstr>0210</vt:lpstr>
      <vt:lpstr>0203</vt:lpstr>
      <vt:lpstr>0127</vt:lpstr>
      <vt:lpstr>0120</vt:lpstr>
      <vt:lpstr>0113</vt:lpstr>
      <vt:lpstr>0106</vt:lpstr>
      <vt:lpstr>0930</vt:lpstr>
      <vt:lpstr>0923</vt:lpstr>
      <vt:lpstr>0916</vt:lpstr>
      <vt:lpstr>0909</vt:lpstr>
      <vt:lpstr>0902</vt:lpstr>
      <vt:lpstr>0826</vt:lpstr>
      <vt:lpstr>0819</vt:lpstr>
      <vt:lpstr>0812</vt:lpstr>
      <vt:lpstr>0805</vt:lpstr>
      <vt:lpstr>0729</vt:lpstr>
      <vt:lpstr>0722</vt:lpstr>
      <vt:lpstr>0715</vt:lpstr>
      <vt:lpstr>0708</vt:lpstr>
      <vt:lpstr>'0106'!Print_Area</vt:lpstr>
      <vt:lpstr>'0113'!Print_Area</vt:lpstr>
      <vt:lpstr>'0120'!Print_Area</vt:lpstr>
      <vt:lpstr>'0127'!Print_Area</vt:lpstr>
      <vt:lpstr>'0203'!Print_Area</vt:lpstr>
      <vt:lpstr>'0210'!Print_Area</vt:lpstr>
      <vt:lpstr>'0217'!Print_Area</vt:lpstr>
      <vt:lpstr>'0224'!Print_Area</vt:lpstr>
      <vt:lpstr>'0302'!Print_Area</vt:lpstr>
      <vt:lpstr>'0303'!Print_Area</vt:lpstr>
      <vt:lpstr>'0309'!Print_Area</vt:lpstr>
      <vt:lpstr>'0310'!Print_Area</vt:lpstr>
      <vt:lpstr>'0316'!Print_Area</vt:lpstr>
      <vt:lpstr>'0317'!Print_Area</vt:lpstr>
      <vt:lpstr>'0323'!Print_Area</vt:lpstr>
      <vt:lpstr>'0324'!Print_Area</vt:lpstr>
      <vt:lpstr>'0331'!Print_Area</vt:lpstr>
      <vt:lpstr>'0407'!Print_Area</vt:lpstr>
      <vt:lpstr>'0414'!Print_Area</vt:lpstr>
      <vt:lpstr>'0421'!Print_Area</vt:lpstr>
      <vt:lpstr>'0428'!Print_Area</vt:lpstr>
      <vt:lpstr>'0505'!Print_Area</vt:lpstr>
      <vt:lpstr>'0512'!Print_Area</vt:lpstr>
      <vt:lpstr>'0722'!Print_Area</vt:lpstr>
      <vt:lpstr>'0729'!Print_Area</vt:lpstr>
      <vt:lpstr>'0805'!Print_Area</vt:lpstr>
      <vt:lpstr>'0812'!Print_Area</vt:lpstr>
      <vt:lpstr>'0819'!Print_Area</vt:lpstr>
      <vt:lpstr>'0826'!Print_Area</vt:lpstr>
      <vt:lpstr>'0902'!Print_Area</vt:lpstr>
      <vt:lpstr>'0909'!Print_Area</vt:lpstr>
      <vt:lpstr>'0916'!Print_Area</vt:lpstr>
      <vt:lpstr>'0923'!Print_Area</vt:lpstr>
      <vt:lpstr>'0930'!Print_Area</vt:lpstr>
      <vt:lpstr>'0316'!Print_Titles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内田 勝之</dc:creator>
  <cp:lastModifiedBy>新名 洋幸</cp:lastModifiedBy>
  <cp:lastPrinted>2026-03-19T08:39:41Z</cp:lastPrinted>
  <dcterms:created xsi:type="dcterms:W3CDTF">2015-06-05T18:19:34Z</dcterms:created>
  <dcterms:modified xsi:type="dcterms:W3CDTF">2026-03-23T14:31:12Z</dcterms:modified>
</cp:coreProperties>
</file>